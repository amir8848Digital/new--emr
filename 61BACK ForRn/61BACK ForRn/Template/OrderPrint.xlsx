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OM" sheetId="1" r:id="rId3"/>
    <sheet state="visible" name="OD" sheetId="2" r:id="rId4"/>
  </sheets>
  <definedNames/>
  <calcPr/>
</workbook>
</file>

<file path=xl/sharedStrings.xml><?xml version="1.0" encoding="utf-8"?>
<sst xmlns="http://schemas.openxmlformats.org/spreadsheetml/2006/main" count="111" uniqueCount="64">
  <si>
    <t>Microway Jewellery</t>
  </si>
  <si>
    <t>Cust Name</t>
  </si>
  <si>
    <t>Order No</t>
  </si>
  <si>
    <t>Date</t>
  </si>
  <si>
    <t>Design</t>
  </si>
  <si>
    <t>Suffix</t>
  </si>
  <si>
    <t>Size</t>
  </si>
  <si>
    <t>Cust Design</t>
  </si>
  <si>
    <t>Quantity</t>
  </si>
  <si>
    <t>Voucher No.</t>
  </si>
  <si>
    <t>Gold Rate</t>
  </si>
  <si>
    <t>PO Reference</t>
  </si>
  <si>
    <t>Silver Rate</t>
  </si>
  <si>
    <t>Customer Code</t>
  </si>
  <si>
    <t>Platinum Rate</t>
  </si>
  <si>
    <t>Palladium Rate</t>
  </si>
  <si>
    <t>Name</t>
  </si>
  <si>
    <t>Shipment Date</t>
  </si>
  <si>
    <t>Calc Price</t>
  </si>
  <si>
    <t>Sales Price</t>
  </si>
  <si>
    <t/>
  </si>
  <si>
    <t>Total</t>
  </si>
  <si>
    <t>DMCD</t>
  </si>
  <si>
    <t>KT</t>
  </si>
  <si>
    <t>COL</t>
  </si>
  <si>
    <t>METAL</t>
  </si>
  <si>
    <t>DESIGNS</t>
  </si>
  <si>
    <t>Sr</t>
  </si>
  <si>
    <t>Price ($)</t>
  </si>
  <si>
    <t>Value ($)</t>
  </si>
  <si>
    <t>Ctg</t>
  </si>
  <si>
    <t>Sub Ctg</t>
  </si>
  <si>
    <t>Rm Code</t>
  </si>
  <si>
    <t>Qty</t>
  </si>
  <si>
    <t>Weight</t>
  </si>
  <si>
    <t>Q/W</t>
  </si>
  <si>
    <t>LME($)</t>
  </si>
  <si>
    <t>Rate($)</t>
  </si>
  <si>
    <t>STONES</t>
  </si>
  <si>
    <t>Ln/Sv</t>
  </si>
  <si>
    <t>Pointer</t>
  </si>
  <si>
    <t>Set Code</t>
  </si>
  <si>
    <t>CHAIN AND ACCESSORIES</t>
  </si>
  <si>
    <t>LABOR (EXCEPT SETTING)</t>
  </si>
  <si>
    <t>LabAsWt</t>
  </si>
  <si>
    <t>Main Code</t>
  </si>
  <si>
    <t>Sub Code</t>
  </si>
  <si>
    <t>SUMMARY</t>
  </si>
  <si>
    <t>Metal</t>
  </si>
  <si>
    <t>Diamond</t>
  </si>
  <si>
    <t>Multiply By</t>
  </si>
  <si>
    <t>ColStn</t>
  </si>
  <si>
    <t>Fndgs</t>
  </si>
  <si>
    <t>Labor</t>
  </si>
  <si>
    <t>Design Production Instr</t>
  </si>
  <si>
    <t>Customer Production Instr</t>
  </si>
  <si>
    <t>Stamping Instr</t>
  </si>
  <si>
    <t>Size Instr</t>
  </si>
  <si>
    <t>Special Remark</t>
  </si>
  <si>
    <t>%</t>
  </si>
  <si>
    <t>Total Amount</t>
  </si>
  <si>
    <t>Net Amount</t>
  </si>
  <si>
    <t>Del Terms</t>
  </si>
  <si>
    <t>Pay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</si>
</sst>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;[Red]0.0"/>
    <numFmt numFmtId="165" formatCode="0.00;[Red]0.00"/>
    <numFmt numFmtId="166" formatCode="0.000"/>
    <numFmt numFmtId="167" formatCode="0.00_);\(0.00\)"/>
    <numFmt numFmtId="168" formatCode="0;[Red]0"/>
    <numFmt numFmtId="169" formatCode="0.0"/>
    <numFmt numFmtId="170" formatCode="0.000;[Red]0.000"/>
    <numFmt numFmtId="171" formatCode="0.0000;[Red]0.0000"/>
    <numFmt numFmtId="172" formatCode="&quot;$&quot;#,##0.00"/>
  </numFmts>
  <fonts count="9">
    <font>
      <sz val="10.0"/>
      <color rgb="FF000000"/>
      <name val="Arial"/>
    </font>
    <font>
      <b/>
      <sz val="11.0"/>
      <name val="Times New Roman"/>
    </font>
    <font/>
    <font>
      <sz val="10.0"/>
      <name val="Times New Roman"/>
    </font>
    <font>
      <b/>
      <sz val="10.0"/>
      <name val="Times New Roman"/>
    </font>
    <font>
      <sz val="10.0"/>
      <name val="Arial"/>
    </font>
    <font>
      <b/>
      <sz val="10.0"/>
      <color rgb="FFFF0000"/>
      <name val="Times New Roman"/>
    </font>
    <font>
      <sz val="10.0"/>
      <color rgb="FFFF0000"/>
      <name val="Times New Roman"/>
    </font>
    <font>
      <sz val="10.0"/>
      <color rgb="FFFFFF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/>
      <top style="medium">
        <color rgb="FF000000"/>
      </top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C0C0C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thin">
        <color rgb="FFC0C0C0"/>
      </top>
      <bottom style="thin">
        <color rgb="FFC0C0C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medium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2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0" fontId="2" numFmtId="0" xfId="0" applyBorder="1" applyFont="1"/>
    <xf borderId="8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9" fillId="0" fontId="2" numFmtId="0" xfId="0" applyBorder="1" applyFont="1"/>
    <xf borderId="11" fillId="0" fontId="2" numFmtId="0" xfId="0" applyBorder="1" applyFont="1"/>
    <xf borderId="7" fillId="0" fontId="3" numFmtId="0" xfId="0" applyAlignment="1" applyBorder="1" applyFont="1">
      <alignment horizontal="left" shrinkToFit="0" vertical="bottom" wrapText="0"/>
    </xf>
    <xf borderId="12" fillId="0" fontId="2" numFmtId="0" xfId="0" applyBorder="1" applyFont="1"/>
    <xf borderId="13" fillId="0" fontId="2" numFmtId="0" xfId="0" applyBorder="1" applyFont="1"/>
    <xf borderId="9" fillId="0" fontId="3" numFmtId="49" xfId="0" applyAlignment="1" applyBorder="1" applyFont="1" applyNumberFormat="1">
      <alignment shrinkToFit="0" vertical="bottom" wrapText="0"/>
    </xf>
    <xf borderId="14" fillId="0" fontId="2" numFmtId="0" xfId="0" applyBorder="1" applyFont="1"/>
    <xf borderId="9" fillId="0" fontId="3" numFmtId="164" xfId="0" applyAlignment="1" applyBorder="1" applyFont="1" applyNumberFormat="1">
      <alignment shrinkToFit="0" vertical="bottom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7" fillId="0" fontId="3" numFmtId="49" xfId="0" applyAlignment="1" applyBorder="1" applyFont="1" applyNumberFormat="1">
      <alignment horizontal="left" shrinkToFit="0" vertical="bottom" wrapText="0"/>
    </xf>
    <xf borderId="0" fillId="0" fontId="3" numFmtId="165" xfId="0" applyAlignment="1" applyFont="1" applyNumberFormat="1">
      <alignment shrinkToFit="0" vertical="bottom" wrapText="0"/>
    </xf>
    <xf borderId="7" fillId="0" fontId="3" numFmtId="165" xfId="0" applyAlignment="1" applyBorder="1" applyFont="1" applyNumberFormat="1">
      <alignment shrinkToFit="0" vertical="bottom" wrapText="0"/>
    </xf>
    <xf borderId="7" fillId="0" fontId="3" numFmtId="0" xfId="0" applyAlignment="1" applyBorder="1" applyFont="1">
      <alignment horizontal="left" shrinkToFit="0" vertical="bottom" wrapText="1"/>
    </xf>
    <xf borderId="9" fillId="0" fontId="3" numFmtId="165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left" shrinkToFit="0" vertical="bottom" wrapText="1"/>
    </xf>
    <xf borderId="7" fillId="0" fontId="3" numFmtId="0" xfId="0" applyAlignment="1" applyBorder="1" applyFont="1">
      <alignment shrinkToFit="0" vertical="bottom" wrapText="1"/>
    </xf>
    <xf borderId="9" fillId="0" fontId="3" numFmtId="49" xfId="0" applyAlignment="1" applyBorder="1" applyFont="1" applyNumberFormat="1">
      <alignment horizontal="left" shrinkToFit="0" vertical="bottom" wrapText="0"/>
    </xf>
    <xf borderId="9" fillId="0" fontId="3" numFmtId="2" xfId="0" applyAlignment="1" applyBorder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3" numFmtId="14" xfId="0" applyAlignment="1" applyFont="1" applyNumberFormat="1">
      <alignment horizontal="left" shrinkToFit="0" vertical="bottom" wrapText="0"/>
    </xf>
    <xf borderId="7" fillId="0" fontId="3" numFmtId="2" xfId="0" applyAlignment="1" applyBorder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9" fillId="0" fontId="3" numFmtId="167" xfId="0" applyAlignment="1" applyBorder="1" applyFont="1" applyNumberFormat="1">
      <alignment horizontal="right" shrinkToFit="0" vertical="bottom" wrapText="0"/>
    </xf>
    <xf borderId="15" fillId="0" fontId="4" numFmtId="0" xfId="0" applyAlignment="1" applyBorder="1" applyFont="1">
      <alignment shrinkToFit="0" vertical="bottom" wrapText="0"/>
    </xf>
    <xf borderId="16" fillId="0" fontId="2" numFmtId="0" xfId="0" applyBorder="1" applyFont="1"/>
    <xf borderId="5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17" fillId="2" fontId="4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2" fontId="4" numFmtId="0" xfId="0" applyAlignment="1" applyBorder="1" applyFont="1">
      <alignment shrinkToFit="0" vertical="bottom" wrapText="0"/>
    </xf>
    <xf borderId="5" fillId="0" fontId="3" numFmtId="2" xfId="0" applyAlignment="1" applyBorder="1" applyFont="1" applyNumberFormat="1">
      <alignment shrinkToFit="0" vertical="bottom" wrapText="0"/>
    </xf>
    <xf borderId="19" fillId="0" fontId="2" numFmtId="0" xfId="0" applyBorder="1" applyFont="1"/>
    <xf borderId="0" fillId="0" fontId="3" numFmtId="10" xfId="0" applyAlignment="1" applyFont="1" applyNumberFormat="1">
      <alignment shrinkToFit="0" vertical="bottom" wrapText="0"/>
    </xf>
    <xf borderId="20" fillId="2" fontId="4" numFmtId="0" xfId="0" applyAlignment="1" applyBorder="1" applyFont="1">
      <alignment shrinkToFit="0" vertical="bottom" wrapText="0"/>
    </xf>
    <xf borderId="17" fillId="2" fontId="4" numFmtId="0" xfId="0" applyAlignment="1" applyBorder="1" applyFont="1">
      <alignment horizontal="right" shrinkToFit="0" vertical="bottom" wrapText="0"/>
    </xf>
    <xf borderId="20" fillId="2" fontId="4" numFmtId="0" xfId="0" applyAlignment="1" applyBorder="1" applyFont="1">
      <alignment horizontal="right" shrinkToFit="0" vertical="bottom" wrapText="0"/>
    </xf>
    <xf borderId="21" fillId="0" fontId="3" numFmtId="0" xfId="0" applyAlignment="1" applyBorder="1" applyFont="1">
      <alignment shrinkToFit="0" vertical="bottom" wrapText="0"/>
    </xf>
    <xf borderId="22" fillId="2" fontId="4" numFmtId="0" xfId="0" applyAlignment="1" applyBorder="1" applyFont="1">
      <alignment horizontal="right" shrinkToFit="0" vertical="bottom" wrapText="0"/>
    </xf>
    <xf borderId="23" fillId="0" fontId="3" numFmtId="0" xfId="0" applyAlignment="1" applyBorder="1" applyFont="1">
      <alignment shrinkToFit="0" vertical="bottom" wrapText="0"/>
    </xf>
    <xf borderId="24" fillId="0" fontId="3" numFmtId="0" xfId="0" applyAlignment="1" applyBorder="1" applyFont="1">
      <alignment shrinkToFit="0" vertical="bottom" wrapText="0"/>
    </xf>
    <xf borderId="25" fillId="0" fontId="2" numFmtId="0" xfId="0" applyBorder="1" applyFont="1"/>
    <xf borderId="24" fillId="0" fontId="3" numFmtId="168" xfId="0" applyAlignment="1" applyBorder="1" applyFont="1" applyNumberFormat="1">
      <alignment horizontal="right" shrinkToFit="0" vertical="bottom" wrapText="0"/>
    </xf>
    <xf borderId="26" fillId="0" fontId="3" numFmtId="0" xfId="0" applyAlignment="1" applyBorder="1" applyFont="1">
      <alignment shrinkToFit="0" vertical="bottom" wrapText="0"/>
    </xf>
    <xf borderId="24" fillId="0" fontId="3" numFmtId="166" xfId="0" applyAlignment="1" applyBorder="1" applyFont="1" applyNumberFormat="1">
      <alignment horizontal="right" shrinkToFit="0" vertical="bottom" wrapText="0"/>
    </xf>
    <xf borderId="26" fillId="0" fontId="3" numFmtId="169" xfId="0" applyAlignment="1" applyBorder="1" applyFont="1" applyNumberFormat="1">
      <alignment shrinkToFit="0" vertical="bottom" wrapText="0"/>
    </xf>
    <xf borderId="24" fillId="0" fontId="3" numFmtId="166" xfId="0" applyAlignment="1" applyBorder="1" applyFont="1" applyNumberFormat="1">
      <alignment shrinkToFit="0" vertical="center" wrapText="0"/>
    </xf>
    <xf borderId="26" fillId="0" fontId="3" numFmtId="166" xfId="0" applyAlignment="1" applyBorder="1" applyFont="1" applyNumberFormat="1">
      <alignment shrinkToFit="0" vertical="bottom" wrapText="0"/>
    </xf>
    <xf borderId="24" fillId="0" fontId="3" numFmtId="170" xfId="0" applyAlignment="1" applyBorder="1" applyFont="1" applyNumberFormat="1">
      <alignment horizontal="right" shrinkToFit="0" vertical="bottom" wrapText="0"/>
    </xf>
    <xf borderId="26" fillId="0" fontId="8" numFmtId="2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166" xfId="0" applyAlignment="1" applyBorder="1" applyFont="1" applyNumberFormat="1">
      <alignment horizontal="right" shrinkToFit="0" vertical="bottom" wrapText="0"/>
    </xf>
    <xf borderId="29" fillId="0" fontId="3" numFmtId="0" xfId="0" applyAlignment="1" applyBorder="1" applyFont="1">
      <alignment shrinkToFit="0" vertical="bottom" wrapText="0"/>
    </xf>
    <xf borderId="30" fillId="0" fontId="3" numFmtId="0" xfId="0" applyAlignment="1" applyBorder="1" applyFont="1">
      <alignment shrinkToFit="0" vertical="bottom" wrapText="0"/>
    </xf>
    <xf borderId="31" fillId="0" fontId="2" numFmtId="0" xfId="0" applyBorder="1" applyFont="1"/>
    <xf borderId="30" fillId="0" fontId="3" numFmtId="168" xfId="0" applyAlignment="1" applyBorder="1" applyFont="1" applyNumberFormat="1">
      <alignment horizontal="right" shrinkToFit="0" vertical="bottom" wrapText="0"/>
    </xf>
    <xf borderId="32" fillId="0" fontId="3" numFmtId="0" xfId="0" applyAlignment="1" applyBorder="1" applyFont="1">
      <alignment shrinkToFit="0" vertical="bottom" wrapText="0"/>
    </xf>
    <xf borderId="30" fillId="0" fontId="3" numFmtId="166" xfId="0" applyAlignment="1" applyBorder="1" applyFont="1" applyNumberFormat="1">
      <alignment horizontal="right" shrinkToFit="0" vertical="bottom" wrapText="0"/>
    </xf>
    <xf borderId="32" fillId="0" fontId="3" numFmtId="169" xfId="0" applyAlignment="1" applyBorder="1" applyFont="1" applyNumberFormat="1">
      <alignment shrinkToFit="0" vertical="bottom" wrapText="0"/>
    </xf>
    <xf borderId="30" fillId="0" fontId="3" numFmtId="166" xfId="0" applyAlignment="1" applyBorder="1" applyFont="1" applyNumberFormat="1">
      <alignment shrinkToFit="0" vertical="center" wrapText="0"/>
    </xf>
    <xf borderId="24" fillId="0" fontId="3" numFmtId="166" xfId="0" applyAlignment="1" applyBorder="1" applyFont="1" applyNumberFormat="1">
      <alignment shrinkToFit="0" vertical="bottom" wrapText="0"/>
    </xf>
    <xf borderId="30" fillId="0" fontId="3" numFmtId="170" xfId="0" applyAlignment="1" applyBorder="1" applyFont="1" applyNumberFormat="1">
      <alignment horizontal="right" shrinkToFit="0" vertical="bottom" wrapText="0"/>
    </xf>
    <xf borderId="24" fillId="0" fontId="8" numFmtId="2" xfId="0" applyAlignment="1" applyBorder="1" applyFont="1" applyNumberFormat="1">
      <alignment shrinkToFit="0" vertical="bottom" wrapText="0"/>
    </xf>
    <xf borderId="33" fillId="0" fontId="3" numFmtId="166" xfId="0" applyAlignment="1" applyBorder="1" applyFont="1" applyNumberFormat="1">
      <alignment horizontal="right" shrinkToFit="0" vertical="bottom" wrapText="0"/>
    </xf>
    <xf borderId="34" fillId="0" fontId="3" numFmtId="0" xfId="0" applyAlignment="1" applyBorder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35" fillId="2" fontId="4" numFmtId="0" xfId="0" applyAlignment="1" applyBorder="1" applyFont="1">
      <alignment shrinkToFit="0" vertical="bottom" wrapText="0"/>
    </xf>
    <xf borderId="36" fillId="3" fontId="4" numFmtId="0" xfId="0" applyAlignment="1" applyBorder="1" applyFill="1" applyFont="1">
      <alignment horizontal="center" shrinkToFit="0" vertical="bottom" wrapText="0"/>
    </xf>
    <xf borderId="37" fillId="2" fontId="4" numFmtId="0" xfId="0" applyAlignment="1" applyBorder="1" applyFont="1">
      <alignment shrinkToFit="0" vertical="bottom" wrapText="0"/>
    </xf>
    <xf borderId="38" fillId="3" fontId="4" numFmtId="0" xfId="0" applyAlignment="1" applyBorder="1" applyFont="1">
      <alignment horizontal="center" shrinkToFit="0" vertical="bottom" wrapText="0"/>
    </xf>
    <xf borderId="37" fillId="2" fontId="4" numFmtId="168" xfId="0" applyAlignment="1" applyBorder="1" applyFont="1" applyNumberFormat="1">
      <alignment horizontal="right" shrinkToFit="0" vertical="bottom" wrapText="0"/>
    </xf>
    <xf borderId="37" fillId="2" fontId="4" numFmtId="166" xfId="0" applyAlignment="1" applyBorder="1" applyFont="1" applyNumberFormat="1">
      <alignment horizontal="right" shrinkToFit="0" vertical="bottom" wrapText="0"/>
    </xf>
    <xf borderId="36" fillId="3" fontId="3" numFmtId="0" xfId="0" applyAlignment="1" applyBorder="1" applyFont="1">
      <alignment shrinkToFit="0" vertical="bottom" wrapText="0"/>
    </xf>
    <xf borderId="38" fillId="3" fontId="3" numFmtId="0" xfId="0" applyAlignment="1" applyBorder="1" applyFont="1">
      <alignment shrinkToFit="0" vertical="bottom" wrapText="0"/>
    </xf>
    <xf borderId="37" fillId="2" fontId="4" numFmtId="170" xfId="0" applyAlignment="1" applyBorder="1" applyFont="1" applyNumberFormat="1">
      <alignment horizontal="right" shrinkToFit="0" vertical="bottom" wrapText="0"/>
    </xf>
    <xf borderId="39" fillId="2" fontId="4" numFmtId="166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24" fillId="0" fontId="3" numFmtId="171" xfId="0" applyAlignment="1" applyBorder="1" applyFont="1" applyNumberFormat="1">
      <alignment horizontal="right" shrinkToFit="0" vertical="bottom" wrapText="0"/>
    </xf>
    <xf borderId="24" fillId="0" fontId="3" numFmtId="165" xfId="0" applyAlignment="1" applyBorder="1" applyFont="1" applyNumberFormat="1">
      <alignment horizontal="right" shrinkToFit="0" vertical="bottom" wrapText="0"/>
    </xf>
    <xf borderId="28" fillId="0" fontId="3" numFmtId="165" xfId="0" applyAlignment="1" applyBorder="1" applyFont="1" applyNumberFormat="1">
      <alignment horizontal="right" shrinkToFit="0" vertical="bottom" wrapText="0"/>
    </xf>
    <xf borderId="30" fillId="0" fontId="3" numFmtId="171" xfId="0" applyAlignment="1" applyBorder="1" applyFont="1" applyNumberFormat="1">
      <alignment horizontal="right" shrinkToFit="0" vertical="bottom" wrapText="0"/>
    </xf>
    <xf borderId="30" fillId="0" fontId="3" numFmtId="165" xfId="0" applyAlignment="1" applyBorder="1" applyFont="1" applyNumberFormat="1">
      <alignment horizontal="right" shrinkToFit="0" vertical="bottom" wrapText="0"/>
    </xf>
    <xf borderId="33" fillId="0" fontId="3" numFmtId="165" xfId="0" applyAlignment="1" applyBorder="1" applyFont="1" applyNumberFormat="1">
      <alignment horizontal="right" shrinkToFit="0" vertical="bottom" wrapText="0"/>
    </xf>
    <xf borderId="40" fillId="2" fontId="4" numFmtId="0" xfId="0" applyAlignment="1" applyBorder="1" applyFont="1">
      <alignment shrinkToFit="0" vertical="bottom" wrapText="0"/>
    </xf>
    <xf borderId="41" fillId="2" fontId="4" numFmtId="0" xfId="0" applyAlignment="1" applyBorder="1" applyFont="1">
      <alignment shrinkToFit="0" vertical="bottom" wrapText="0"/>
    </xf>
    <xf borderId="37" fillId="2" fontId="4" numFmtId="171" xfId="0" applyAlignment="1" applyBorder="1" applyFont="1" applyNumberFormat="1">
      <alignment horizontal="right" shrinkToFit="0" vertical="bottom" wrapText="0"/>
    </xf>
    <xf borderId="37" fillId="2" fontId="4" numFmtId="165" xfId="0" applyAlignment="1" applyBorder="1" applyFont="1" applyNumberFormat="1">
      <alignment horizontal="right" shrinkToFit="0" vertical="bottom" wrapText="0"/>
    </xf>
    <xf borderId="39" fillId="2" fontId="4" numFmtId="165" xfId="0" applyAlignment="1" applyBorder="1" applyFont="1" applyNumberFormat="1">
      <alignment horizontal="right" shrinkToFit="0" vertical="bottom" wrapText="0"/>
    </xf>
    <xf borderId="42" fillId="3" fontId="4" numFmtId="0" xfId="0" applyAlignment="1" applyBorder="1" applyFont="1">
      <alignment horizontal="center" shrinkToFit="0" vertical="bottom" wrapText="0"/>
    </xf>
    <xf borderId="43" fillId="0" fontId="2" numFmtId="0" xfId="0" applyBorder="1" applyFont="1"/>
    <xf borderId="44" fillId="0" fontId="3" numFmtId="0" xfId="0" applyAlignment="1" applyBorder="1" applyFont="1">
      <alignment shrinkToFit="0" vertical="bottom" wrapText="0"/>
    </xf>
    <xf borderId="45" fillId="2" fontId="4" numFmtId="0" xfId="0" applyAlignment="1" applyBorder="1" applyFont="1">
      <alignment shrinkToFit="0" vertical="bottom" wrapText="0"/>
    </xf>
    <xf borderId="40" fillId="2" fontId="4" numFmtId="168" xfId="0" applyAlignment="1" applyBorder="1" applyFont="1" applyNumberFormat="1">
      <alignment horizontal="right" shrinkToFit="0" vertical="bottom" wrapText="0"/>
    </xf>
    <xf borderId="40" fillId="2" fontId="4" numFmtId="166" xfId="0" applyAlignment="1" applyBorder="1" applyFont="1" applyNumberFormat="1">
      <alignment horizontal="right" shrinkToFit="0" vertical="bottom" wrapText="0"/>
    </xf>
    <xf borderId="0" fillId="0" fontId="4" numFmtId="166" xfId="0" applyAlignment="1" applyFont="1" applyNumberFormat="1">
      <alignment shrinkToFit="0" vertical="bottom" wrapText="0"/>
    </xf>
    <xf borderId="15" fillId="2" fontId="4" numFmtId="0" xfId="0" applyAlignment="1" applyBorder="1" applyFont="1">
      <alignment horizontal="right" shrinkToFit="0" vertical="bottom" wrapText="0"/>
    </xf>
    <xf borderId="46" fillId="2" fontId="4" numFmtId="0" xfId="0" applyAlignment="1" applyBorder="1" applyFont="1">
      <alignment shrinkToFit="0" vertical="bottom" wrapText="0"/>
    </xf>
    <xf borderId="47" fillId="0" fontId="2" numFmtId="0" xfId="0" applyBorder="1" applyFont="1"/>
    <xf borderId="28" fillId="0" fontId="3" numFmtId="2" xfId="0" applyAlignment="1" applyBorder="1" applyFont="1" applyNumberFormat="1">
      <alignment shrinkToFit="0" vertical="bottom" wrapText="0"/>
    </xf>
    <xf borderId="24" fillId="0" fontId="3" numFmtId="2" xfId="0" applyAlignment="1" applyBorder="1" applyFont="1" applyNumberFormat="1">
      <alignment horizontal="right" shrinkToFit="0" vertical="bottom" wrapText="0"/>
    </xf>
    <xf borderId="28" fillId="0" fontId="3" numFmtId="2" xfId="0" applyAlignment="1" applyBorder="1" applyFont="1" applyNumberFormat="1">
      <alignment horizontal="right" shrinkToFit="0" vertical="bottom" wrapText="0"/>
    </xf>
    <xf borderId="48" fillId="2" fontId="4" numFmtId="0" xfId="0" applyAlignment="1" applyBorder="1" applyFont="1">
      <alignment shrinkToFit="0" vertical="bottom" wrapText="0"/>
    </xf>
    <xf borderId="29" fillId="0" fontId="3" numFmtId="166" xfId="0" applyAlignment="1" applyBorder="1" applyFont="1" applyNumberFormat="1">
      <alignment shrinkToFit="0" vertical="bottom" wrapText="0"/>
    </xf>
    <xf borderId="49" fillId="0" fontId="3" numFmtId="2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32" fillId="0" fontId="3" numFmtId="2" xfId="0" applyAlignment="1" applyBorder="1" applyFont="1" applyNumberFormat="1">
      <alignment horizontal="right" shrinkToFit="0" vertical="bottom" wrapText="0"/>
    </xf>
    <xf borderId="49" fillId="0" fontId="3" numFmtId="2" xfId="0" applyAlignment="1" applyBorder="1" applyFont="1" applyNumberFormat="1">
      <alignment horizontal="right" shrinkToFit="0" vertical="bottom" wrapText="0"/>
    </xf>
    <xf borderId="50" fillId="0" fontId="3" numFmtId="0" xfId="0" applyAlignment="1" applyBorder="1" applyFont="1">
      <alignment shrinkToFit="0" vertical="bottom" wrapText="0"/>
    </xf>
    <xf borderId="50" fillId="0" fontId="3" numFmtId="168" xfId="0" applyAlignment="1" applyBorder="1" applyFont="1" applyNumberFormat="1">
      <alignment shrinkToFit="0" vertical="bottom" wrapText="0"/>
    </xf>
    <xf borderId="51" fillId="2" fontId="4" numFmtId="0" xfId="0" applyAlignment="1" applyBorder="1" applyFont="1">
      <alignment shrinkToFit="0" vertical="bottom" wrapText="0"/>
    </xf>
    <xf borderId="52" fillId="0" fontId="2" numFmtId="0" xfId="0" applyBorder="1" applyFont="1"/>
    <xf borderId="33" fillId="0" fontId="3" numFmtId="2" xfId="0" applyAlignment="1" applyBorder="1" applyFont="1" applyNumberFormat="1">
      <alignment horizontal="right" shrinkToFit="0" vertical="bottom" wrapText="0"/>
    </xf>
    <xf borderId="30" fillId="0" fontId="3" numFmtId="0" xfId="0" applyAlignment="1" applyBorder="1" applyFont="1">
      <alignment horizontal="right" shrinkToFit="0" vertical="bottom" wrapText="0"/>
    </xf>
    <xf borderId="53" fillId="0" fontId="3" numFmtId="2" xfId="0" applyAlignment="1" applyBorder="1" applyFont="1" applyNumberFormat="1">
      <alignment shrinkToFit="0" vertical="bottom" wrapText="0"/>
    </xf>
    <xf borderId="54" fillId="2" fontId="4" numFmtId="0" xfId="0" applyAlignment="1" applyBorder="1" applyFont="1">
      <alignment shrinkToFit="0" vertical="bottom" wrapText="0"/>
    </xf>
    <xf borderId="55" fillId="0" fontId="2" numFmtId="0" xfId="0" applyBorder="1" applyFont="1"/>
    <xf borderId="56" fillId="0" fontId="3" numFmtId="168" xfId="0" applyAlignment="1" applyBorder="1" applyFont="1" applyNumberFormat="1">
      <alignment horizontal="right" shrinkToFit="0" vertical="bottom" wrapText="0"/>
    </xf>
    <xf borderId="56" fillId="0" fontId="4" numFmtId="170" xfId="0" applyAlignment="1" applyBorder="1" applyFont="1" applyNumberFormat="1">
      <alignment horizontal="right" shrinkToFit="0" vertical="bottom" wrapText="0"/>
    </xf>
    <xf borderId="6" fillId="0" fontId="4" numFmtId="2" xfId="0" applyAlignment="1" applyBorder="1" applyFont="1" applyNumberFormat="1">
      <alignment shrinkToFit="0" vertical="bottom" wrapText="0"/>
    </xf>
    <xf borderId="15" fillId="2" fontId="4" numFmtId="0" xfId="0" applyAlignment="1" applyBorder="1" applyFont="1">
      <alignment shrinkToFit="0" vertical="bottom" wrapText="0"/>
    </xf>
    <xf borderId="56" fillId="0" fontId="3" numFmtId="166" xfId="0" applyAlignment="1" applyBorder="1" applyFont="1" applyNumberFormat="1">
      <alignment horizontal="right" shrinkToFit="0" vertical="bottom" wrapText="0"/>
    </xf>
    <xf borderId="57" fillId="0" fontId="4" numFmtId="2" xfId="0" applyAlignment="1" applyBorder="1" applyFont="1" applyNumberFormat="1">
      <alignment horizontal="right" shrinkToFit="0" vertical="bottom" wrapText="0"/>
    </xf>
    <xf borderId="0" fillId="0" fontId="3" numFmtId="168" xfId="0" applyAlignment="1" applyFont="1" applyNumberFormat="1">
      <alignment horizontal="right" shrinkToFit="0" vertical="bottom" wrapText="0"/>
    </xf>
    <xf borderId="0" fillId="0" fontId="4" numFmtId="170" xfId="0" applyAlignment="1" applyFont="1" applyNumberFormat="1">
      <alignment horizontal="right" shrinkToFit="0" vertical="bottom" wrapText="0"/>
    </xf>
    <xf borderId="0" fillId="0" fontId="3" numFmtId="166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0"/>
    </xf>
    <xf borderId="0" fillId="0" fontId="4" numFmtId="172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172" xfId="0" applyAlignment="1" applyFont="1" applyNumberFormat="1">
      <alignment horizontal="center" shrinkToFit="0" vertical="bottom" wrapText="0"/>
    </xf>
    <xf borderId="58" fillId="0" fontId="3" numFmtId="0" xfId="0" applyAlignment="1" applyBorder="1" applyFont="1">
      <alignment shrinkToFit="0" vertical="bottom" wrapText="0"/>
    </xf>
    <xf borderId="30" fillId="0" fontId="3" numFmtId="169" xfId="0" applyAlignment="1" applyBorder="1" applyFont="1" applyNumberFormat="1">
      <alignment shrinkToFit="0" vertical="bottom" wrapText="0"/>
    </xf>
    <xf borderId="56" fillId="0" fontId="3" numFmtId="166" xfId="0" applyAlignment="1" applyBorder="1" applyFont="1" applyNumberFormat="1">
      <alignment shrinkToFit="0" vertical="bottom" wrapText="0"/>
    </xf>
    <xf borderId="56" fillId="0" fontId="8" numFmtId="2" xfId="0" applyAlignment="1" applyBorder="1" applyFont="1" applyNumberFormat="1">
      <alignment shrinkToFit="0" vertical="bottom" wrapText="0"/>
    </xf>
    <xf borderId="17" fillId="2" fontId="3" numFmtId="0" xfId="0" applyAlignment="1" applyBorder="1" applyFont="1">
      <alignment shrinkToFit="0" vertical="bottom" wrapText="0"/>
    </xf>
    <xf borderId="20" fillId="2" fontId="4" numFmtId="169" xfId="0" applyAlignment="1" applyBorder="1" applyFont="1" applyNumberFormat="1">
      <alignment shrinkToFit="0" vertical="bottom" wrapText="0"/>
    </xf>
    <xf borderId="20" fillId="2" fontId="3" numFmtId="0" xfId="0" applyAlignment="1" applyBorder="1" applyFont="1">
      <alignment shrinkToFit="0" vertical="bottom" wrapText="0"/>
    </xf>
    <xf borderId="20" fillId="2" fontId="4" numFmtId="2" xfId="0" applyAlignment="1" applyBorder="1" applyFont="1" applyNumberFormat="1">
      <alignment shrinkToFit="0" vertical="bottom" wrapText="0"/>
    </xf>
    <xf borderId="42" fillId="3" fontId="3" numFmtId="0" xfId="0" applyAlignment="1" applyBorder="1" applyFont="1">
      <alignment shrinkToFit="0" vertical="bottom" wrapText="0"/>
    </xf>
    <xf borderId="59" fillId="3" fontId="4" numFmtId="0" xfId="0" applyAlignment="1" applyBorder="1" applyFont="1">
      <alignment horizontal="center" shrinkToFit="0" vertical="bottom" wrapText="0"/>
    </xf>
    <xf borderId="59" fillId="3" fontId="4" numFmtId="0" xfId="0" applyAlignment="1" applyBorder="1" applyFont="1">
      <alignment shrinkToFit="0" vertical="bottom" wrapText="0"/>
    </xf>
    <xf borderId="59" fillId="3" fontId="3" numFmtId="0" xfId="0" applyAlignment="1" applyBorder="1" applyFont="1">
      <alignment shrinkToFit="0" vertical="bottom" wrapText="0"/>
    </xf>
    <xf borderId="60" fillId="2" fontId="4" numFmtId="0" xfId="0" applyAlignment="1" applyBorder="1" applyFont="1">
      <alignment shrinkToFit="0" vertical="bottom" wrapText="0"/>
    </xf>
    <xf borderId="61" fillId="2" fontId="3" numFmtId="0" xfId="0" applyAlignment="1" applyBorder="1" applyFont="1">
      <alignment shrinkToFit="0" vertical="bottom" wrapText="0"/>
    </xf>
    <xf borderId="32" fillId="0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9.14"/>
    <col customWidth="1" min="3" max="3" width="10.14"/>
    <col customWidth="1" min="4" max="4" width="9.14"/>
    <col customWidth="1" min="5" max="5" width="10.29"/>
    <col customWidth="1" min="6" max="6" width="9.14"/>
    <col customWidth="1" min="7" max="7" width="7.86"/>
    <col customWidth="1" min="8" max="9" width="12.29"/>
    <col customWidth="1" min="10" max="10" width="10.57"/>
    <col customWidth="1" hidden="1" min="11" max="11" width="10.29"/>
    <col customWidth="1" hidden="1" min="12" max="12" width="8.0"/>
    <col customWidth="1" min="13" max="13" width="9.57"/>
    <col customWidth="1" min="14" max="14" width="10.71"/>
    <col customWidth="1" min="15" max="15" width="9.14"/>
    <col customWidth="1" min="16" max="16" width="12.86"/>
    <col customWidth="1" min="17" max="17" width="9.57"/>
    <col customWidth="1" min="18" max="18" width="10.14"/>
    <col customWidth="1" min="19" max="19" width="12.29"/>
    <col customWidth="1" min="20" max="20" width="13.43"/>
    <col customWidth="1" min="21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2"/>
      <c r="U1" s="4"/>
      <c r="V1" s="4"/>
      <c r="W1" s="4"/>
      <c r="X1" s="4"/>
      <c r="Y1" s="4"/>
      <c r="Z1" s="4"/>
    </row>
    <row r="2" ht="13.5" customHeight="1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7"/>
      <c r="U2" s="4"/>
      <c r="V2" s="4"/>
      <c r="W2" s="4"/>
      <c r="X2" s="4"/>
      <c r="Y2" s="4"/>
      <c r="Z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9" t="s">
        <v>9</v>
      </c>
      <c r="C5" s="10"/>
      <c r="D5" s="11"/>
      <c r="E5" s="9" t="s">
        <v>3</v>
      </c>
      <c r="F5" s="31"/>
      <c r="G5" s="4"/>
      <c r="H5" s="9" t="s">
        <v>10</v>
      </c>
      <c r="I5" s="33"/>
      <c r="J5" s="9" t="s">
        <v>12</v>
      </c>
      <c r="K5" s="32"/>
      <c r="L5" s="4"/>
      <c r="M5" s="3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9" t="s">
        <v>13</v>
      </c>
      <c r="B6" s="9"/>
      <c r="C6" s="16"/>
      <c r="D6" s="4"/>
      <c r="E6" s="4"/>
      <c r="F6" s="4"/>
      <c r="G6" s="4"/>
      <c r="H6" s="9" t="s">
        <v>14</v>
      </c>
      <c r="I6" s="35"/>
      <c r="J6" s="9" t="s">
        <v>15</v>
      </c>
      <c r="K6" s="32"/>
      <c r="L6" s="4"/>
      <c r="M6" s="3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9" t="s">
        <v>16</v>
      </c>
      <c r="B7" s="9"/>
      <c r="C7" s="37"/>
      <c r="D7" s="11"/>
      <c r="E7" s="11"/>
      <c r="F7" s="11"/>
      <c r="G7" s="11"/>
      <c r="H7" s="11"/>
      <c r="I7" s="11"/>
      <c r="J7" s="11"/>
      <c r="K7" s="11"/>
      <c r="L7" s="11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9" t="s">
        <v>11</v>
      </c>
      <c r="B8" s="4"/>
      <c r="C8" s="16"/>
      <c r="D8" s="21"/>
      <c r="E8" s="9" t="s">
        <v>3</v>
      </c>
      <c r="F8" s="38"/>
      <c r="G8" s="40"/>
      <c r="H8" s="9"/>
      <c r="I8" s="42"/>
      <c r="J8" s="9"/>
      <c r="K8" s="4"/>
      <c r="L8" s="4"/>
      <c r="M8" s="4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9" t="s">
        <v>17</v>
      </c>
      <c r="B9" s="4"/>
      <c r="C9" s="38"/>
      <c r="D9" s="4"/>
      <c r="E9" s="9"/>
      <c r="F9" s="44"/>
      <c r="G9" s="4"/>
      <c r="H9" s="9"/>
      <c r="I9" s="44" t="s">
        <v>20</v>
      </c>
      <c r="J9" s="46"/>
      <c r="K9" s="48"/>
      <c r="L9" s="50"/>
      <c r="M9" s="4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9" t="s">
        <v>21</v>
      </c>
      <c r="C10" s="54">
        <f>$D309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57" t="s">
        <v>26</v>
      </c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59" t="s">
        <v>27</v>
      </c>
      <c r="B13" s="61" t="s">
        <v>4</v>
      </c>
      <c r="C13" s="63"/>
      <c r="D13" s="61" t="s">
        <v>5</v>
      </c>
      <c r="E13" s="63"/>
      <c r="F13" s="65" t="s">
        <v>6</v>
      </c>
      <c r="G13" s="65" t="s">
        <v>8</v>
      </c>
      <c r="H13" s="65" t="s">
        <v>28</v>
      </c>
      <c r="I13" s="65" t="s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8"/>
      <c r="B14" s="70"/>
      <c r="C14" s="72"/>
      <c r="D14" s="70"/>
      <c r="E14" s="72"/>
      <c r="F14" s="74"/>
      <c r="G14" s="76"/>
      <c r="H14" s="78"/>
      <c r="I14" s="80">
        <f t="shared" ref="I14:I299" si="1">G14*H14</f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81"/>
      <c r="B15" s="83"/>
      <c r="C15" s="85"/>
      <c r="D15" s="83"/>
      <c r="E15" s="85"/>
      <c r="F15" s="87"/>
      <c r="G15" s="89"/>
      <c r="H15" s="91"/>
      <c r="I15" s="93">
        <f t="shared" si="1"/>
        <v>0</v>
      </c>
      <c r="J15" s="95"/>
      <c r="K15" s="9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81"/>
      <c r="B16" s="83"/>
      <c r="C16" s="85"/>
      <c r="D16" s="83"/>
      <c r="E16" s="85"/>
      <c r="F16" s="87"/>
      <c r="G16" s="89"/>
      <c r="H16" s="91"/>
      <c r="I16" s="93">
        <f t="shared" si="1"/>
        <v>0</v>
      </c>
      <c r="J16" s="98"/>
      <c r="K16" s="10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81"/>
      <c r="B17" s="83"/>
      <c r="C17" s="85"/>
      <c r="D17" s="83"/>
      <c r="E17" s="85"/>
      <c r="F17" s="87"/>
      <c r="G17" s="89"/>
      <c r="H17" s="91"/>
      <c r="I17" s="93">
        <f t="shared" si="1"/>
        <v>0</v>
      </c>
      <c r="J17" s="103"/>
      <c r="K17" s="10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81"/>
      <c r="B18" s="83"/>
      <c r="C18" s="85"/>
      <c r="D18" s="83"/>
      <c r="E18" s="85"/>
      <c r="F18" s="87"/>
      <c r="G18" s="89"/>
      <c r="H18" s="91"/>
      <c r="I18" s="93">
        <f t="shared" si="1"/>
        <v>0</v>
      </c>
      <c r="J18" s="103"/>
      <c r="K18" s="10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81"/>
      <c r="B19" s="83"/>
      <c r="C19" s="85"/>
      <c r="D19" s="83"/>
      <c r="E19" s="85"/>
      <c r="F19" s="87"/>
      <c r="G19" s="89"/>
      <c r="H19" s="91"/>
      <c r="I19" s="93">
        <f t="shared" si="1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81"/>
      <c r="B20" s="83"/>
      <c r="C20" s="85"/>
      <c r="D20" s="83"/>
      <c r="E20" s="85"/>
      <c r="F20" s="87"/>
      <c r="G20" s="89"/>
      <c r="H20" s="91"/>
      <c r="I20" s="93">
        <f t="shared" si="1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81"/>
      <c r="B21" s="83"/>
      <c r="C21" s="85"/>
      <c r="D21" s="83"/>
      <c r="E21" s="85"/>
      <c r="F21" s="87"/>
      <c r="G21" s="89"/>
      <c r="H21" s="91"/>
      <c r="I21" s="93">
        <f t="shared" si="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81"/>
      <c r="B22" s="83"/>
      <c r="C22" s="85"/>
      <c r="D22" s="83"/>
      <c r="E22" s="85"/>
      <c r="F22" s="87"/>
      <c r="G22" s="89"/>
      <c r="H22" s="91"/>
      <c r="I22" s="93">
        <f t="shared" si="1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81"/>
      <c r="B23" s="83"/>
      <c r="C23" s="85"/>
      <c r="D23" s="83"/>
      <c r="E23" s="85"/>
      <c r="F23" s="87"/>
      <c r="G23" s="89"/>
      <c r="H23" s="91"/>
      <c r="I23" s="93">
        <f t="shared" si="1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81"/>
      <c r="B24" s="83"/>
      <c r="C24" s="85"/>
      <c r="D24" s="83"/>
      <c r="E24" s="85"/>
      <c r="F24" s="87"/>
      <c r="G24" s="89"/>
      <c r="H24" s="91"/>
      <c r="I24" s="93">
        <f t="shared" si="1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81"/>
      <c r="B25" s="83"/>
      <c r="C25" s="85"/>
      <c r="D25" s="83"/>
      <c r="E25" s="85"/>
      <c r="F25" s="87"/>
      <c r="G25" s="89"/>
      <c r="H25" s="91"/>
      <c r="I25" s="93">
        <f t="shared" si="1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81"/>
      <c r="B26" s="83"/>
      <c r="C26" s="85"/>
      <c r="D26" s="83"/>
      <c r="E26" s="85"/>
      <c r="F26" s="87"/>
      <c r="G26" s="89"/>
      <c r="H26" s="91"/>
      <c r="I26" s="93">
        <f t="shared" si="1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1"/>
      <c r="B27" s="83"/>
      <c r="C27" s="85"/>
      <c r="D27" s="83"/>
      <c r="E27" s="85"/>
      <c r="F27" s="87"/>
      <c r="G27" s="89"/>
      <c r="H27" s="91"/>
      <c r="I27" s="93">
        <f t="shared" si="1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81"/>
      <c r="B28" s="83"/>
      <c r="C28" s="85"/>
      <c r="D28" s="83"/>
      <c r="E28" s="85"/>
      <c r="F28" s="87"/>
      <c r="G28" s="89"/>
      <c r="H28" s="91"/>
      <c r="I28" s="93">
        <f t="shared" si="1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1"/>
      <c r="B29" s="83"/>
      <c r="C29" s="85"/>
      <c r="D29" s="83"/>
      <c r="E29" s="85"/>
      <c r="F29" s="87"/>
      <c r="G29" s="89"/>
      <c r="H29" s="91"/>
      <c r="I29" s="93">
        <f t="shared" si="1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81"/>
      <c r="B30" s="83"/>
      <c r="C30" s="85"/>
      <c r="D30" s="83"/>
      <c r="E30" s="85"/>
      <c r="F30" s="87"/>
      <c r="G30" s="89"/>
      <c r="H30" s="91"/>
      <c r="I30" s="93">
        <f t="shared" si="1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1"/>
      <c r="B31" s="83"/>
      <c r="C31" s="85"/>
      <c r="D31" s="83"/>
      <c r="E31" s="85"/>
      <c r="F31" s="87"/>
      <c r="G31" s="89"/>
      <c r="H31" s="91"/>
      <c r="I31" s="93">
        <f t="shared" si="1"/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81"/>
      <c r="B32" s="83"/>
      <c r="C32" s="85"/>
      <c r="D32" s="83"/>
      <c r="E32" s="85"/>
      <c r="F32" s="87"/>
      <c r="G32" s="89"/>
      <c r="H32" s="91"/>
      <c r="I32" s="93">
        <f t="shared" si="1"/>
        <v>0</v>
      </c>
      <c r="J32" s="4"/>
      <c r="K32" s="4"/>
      <c r="L32" s="9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81"/>
      <c r="B33" s="83"/>
      <c r="C33" s="85"/>
      <c r="D33" s="83"/>
      <c r="E33" s="85"/>
      <c r="F33" s="87"/>
      <c r="G33" s="89"/>
      <c r="H33" s="91"/>
      <c r="I33" s="93">
        <f t="shared" si="1"/>
        <v>0</v>
      </c>
      <c r="J33" s="4"/>
      <c r="K33" s="4"/>
      <c r="L33" s="11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81"/>
      <c r="B34" s="83"/>
      <c r="C34" s="85"/>
      <c r="D34" s="83"/>
      <c r="E34" s="85"/>
      <c r="F34" s="87"/>
      <c r="G34" s="89"/>
      <c r="H34" s="91"/>
      <c r="I34" s="93">
        <f t="shared" si="1"/>
        <v>0</v>
      </c>
      <c r="J34" s="4"/>
      <c r="K34" s="4"/>
      <c r="L34" s="10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81"/>
      <c r="B35" s="83"/>
      <c r="C35" s="85"/>
      <c r="D35" s="83"/>
      <c r="E35" s="85"/>
      <c r="F35" s="87"/>
      <c r="G35" s="89"/>
      <c r="H35" s="91"/>
      <c r="I35" s="93">
        <f t="shared" si="1"/>
        <v>0</v>
      </c>
      <c r="J35" s="4"/>
      <c r="K35" s="4"/>
      <c r="L35" s="10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81"/>
      <c r="B36" s="83"/>
      <c r="C36" s="85"/>
      <c r="D36" s="83"/>
      <c r="E36" s="85"/>
      <c r="F36" s="87"/>
      <c r="G36" s="89"/>
      <c r="H36" s="91"/>
      <c r="I36" s="93">
        <f t="shared" si="1"/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81"/>
      <c r="B37" s="83"/>
      <c r="C37" s="85"/>
      <c r="D37" s="83"/>
      <c r="E37" s="85"/>
      <c r="F37" s="87"/>
      <c r="G37" s="89"/>
      <c r="H37" s="91"/>
      <c r="I37" s="93">
        <f t="shared" si="1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81"/>
      <c r="B38" s="83"/>
      <c r="C38" s="85"/>
      <c r="D38" s="83"/>
      <c r="E38" s="85"/>
      <c r="F38" s="87"/>
      <c r="G38" s="89"/>
      <c r="H38" s="91"/>
      <c r="I38" s="93">
        <f t="shared" si="1"/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81"/>
      <c r="B39" s="83"/>
      <c r="C39" s="85"/>
      <c r="D39" s="83"/>
      <c r="E39" s="85"/>
      <c r="F39" s="87"/>
      <c r="G39" s="89"/>
      <c r="H39" s="91"/>
      <c r="I39" s="93">
        <f t="shared" si="1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81"/>
      <c r="B40" s="83"/>
      <c r="C40" s="85"/>
      <c r="D40" s="83"/>
      <c r="E40" s="85"/>
      <c r="F40" s="87"/>
      <c r="G40" s="89"/>
      <c r="H40" s="91"/>
      <c r="I40" s="93">
        <f t="shared" si="1"/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81"/>
      <c r="B41" s="83"/>
      <c r="C41" s="85"/>
      <c r="D41" s="83"/>
      <c r="E41" s="85"/>
      <c r="F41" s="87"/>
      <c r="G41" s="89"/>
      <c r="H41" s="91"/>
      <c r="I41" s="93">
        <f t="shared" si="1"/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81"/>
      <c r="B42" s="83"/>
      <c r="C42" s="85"/>
      <c r="D42" s="83"/>
      <c r="E42" s="85"/>
      <c r="F42" s="87"/>
      <c r="G42" s="89"/>
      <c r="H42" s="91"/>
      <c r="I42" s="93">
        <f t="shared" si="1"/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81"/>
      <c r="B43" s="83"/>
      <c r="C43" s="85"/>
      <c r="D43" s="83"/>
      <c r="E43" s="85"/>
      <c r="F43" s="87"/>
      <c r="G43" s="89"/>
      <c r="H43" s="91"/>
      <c r="I43" s="93">
        <f t="shared" si="1"/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81"/>
      <c r="B44" s="83"/>
      <c r="C44" s="85"/>
      <c r="D44" s="83"/>
      <c r="E44" s="85"/>
      <c r="F44" s="87"/>
      <c r="G44" s="89"/>
      <c r="H44" s="91"/>
      <c r="I44" s="93">
        <f t="shared" si="1"/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81"/>
      <c r="B45" s="83"/>
      <c r="C45" s="85"/>
      <c r="D45" s="83"/>
      <c r="E45" s="85"/>
      <c r="F45" s="87"/>
      <c r="G45" s="89"/>
      <c r="H45" s="91"/>
      <c r="I45" s="93">
        <f t="shared" si="1"/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81"/>
      <c r="B46" s="83"/>
      <c r="C46" s="85"/>
      <c r="D46" s="83"/>
      <c r="E46" s="85"/>
      <c r="F46" s="87"/>
      <c r="G46" s="89"/>
      <c r="H46" s="91"/>
      <c r="I46" s="93">
        <f t="shared" si="1"/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81"/>
      <c r="B47" s="83"/>
      <c r="C47" s="85"/>
      <c r="D47" s="83"/>
      <c r="E47" s="85"/>
      <c r="F47" s="87"/>
      <c r="G47" s="89"/>
      <c r="H47" s="91"/>
      <c r="I47" s="93">
        <f t="shared" si="1"/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81"/>
      <c r="B48" s="83"/>
      <c r="C48" s="85"/>
      <c r="D48" s="83"/>
      <c r="E48" s="85"/>
      <c r="F48" s="87"/>
      <c r="G48" s="89"/>
      <c r="H48" s="91"/>
      <c r="I48" s="93">
        <f t="shared" si="1"/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81"/>
      <c r="B49" s="83"/>
      <c r="C49" s="85"/>
      <c r="D49" s="83"/>
      <c r="E49" s="85"/>
      <c r="F49" s="87"/>
      <c r="G49" s="89"/>
      <c r="H49" s="91"/>
      <c r="I49" s="93">
        <f t="shared" si="1"/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81"/>
      <c r="B50" s="83"/>
      <c r="C50" s="85"/>
      <c r="D50" s="83"/>
      <c r="E50" s="85"/>
      <c r="F50" s="87"/>
      <c r="G50" s="89"/>
      <c r="H50" s="91"/>
      <c r="I50" s="93">
        <f t="shared" si="1"/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81"/>
      <c r="B51" s="83"/>
      <c r="C51" s="85"/>
      <c r="D51" s="83"/>
      <c r="E51" s="85"/>
      <c r="F51" s="87"/>
      <c r="G51" s="89"/>
      <c r="H51" s="91"/>
      <c r="I51" s="93">
        <f t="shared" si="1"/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81"/>
      <c r="B52" s="83"/>
      <c r="C52" s="85"/>
      <c r="D52" s="83"/>
      <c r="E52" s="85"/>
      <c r="F52" s="87"/>
      <c r="G52" s="89"/>
      <c r="H52" s="91"/>
      <c r="I52" s="93">
        <f t="shared" si="1"/>
        <v>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81"/>
      <c r="B53" s="83"/>
      <c r="C53" s="85"/>
      <c r="D53" s="83"/>
      <c r="E53" s="85"/>
      <c r="F53" s="87"/>
      <c r="G53" s="89"/>
      <c r="H53" s="91"/>
      <c r="I53" s="93">
        <f t="shared" si="1"/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81"/>
      <c r="B54" s="83"/>
      <c r="C54" s="85"/>
      <c r="D54" s="83"/>
      <c r="E54" s="85"/>
      <c r="F54" s="87"/>
      <c r="G54" s="89"/>
      <c r="H54" s="91"/>
      <c r="I54" s="93">
        <f t="shared" si="1"/>
        <v>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81"/>
      <c r="B55" s="83"/>
      <c r="C55" s="85"/>
      <c r="D55" s="83"/>
      <c r="E55" s="85"/>
      <c r="F55" s="87"/>
      <c r="G55" s="89"/>
      <c r="H55" s="91"/>
      <c r="I55" s="93">
        <f t="shared" si="1"/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81"/>
      <c r="B56" s="83"/>
      <c r="C56" s="85"/>
      <c r="D56" s="83"/>
      <c r="E56" s="85"/>
      <c r="F56" s="87"/>
      <c r="G56" s="89"/>
      <c r="H56" s="91"/>
      <c r="I56" s="93">
        <f t="shared" si="1"/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81"/>
      <c r="B57" s="83"/>
      <c r="C57" s="85"/>
      <c r="D57" s="83"/>
      <c r="E57" s="85"/>
      <c r="F57" s="87"/>
      <c r="G57" s="89"/>
      <c r="H57" s="91"/>
      <c r="I57" s="93">
        <f t="shared" si="1"/>
        <v>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81"/>
      <c r="B58" s="83"/>
      <c r="C58" s="85"/>
      <c r="D58" s="83"/>
      <c r="E58" s="85"/>
      <c r="F58" s="87"/>
      <c r="G58" s="89"/>
      <c r="H58" s="91"/>
      <c r="I58" s="93">
        <f t="shared" si="1"/>
        <v>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81"/>
      <c r="B59" s="83"/>
      <c r="C59" s="85"/>
      <c r="D59" s="83"/>
      <c r="E59" s="85"/>
      <c r="F59" s="87"/>
      <c r="G59" s="89"/>
      <c r="H59" s="91"/>
      <c r="I59" s="93">
        <f t="shared" si="1"/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81"/>
      <c r="B60" s="83"/>
      <c r="C60" s="85"/>
      <c r="D60" s="83"/>
      <c r="E60" s="85"/>
      <c r="F60" s="87"/>
      <c r="G60" s="89"/>
      <c r="H60" s="91"/>
      <c r="I60" s="93">
        <f t="shared" si="1"/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81"/>
      <c r="B61" s="83"/>
      <c r="C61" s="85"/>
      <c r="D61" s="83"/>
      <c r="E61" s="85"/>
      <c r="F61" s="87"/>
      <c r="G61" s="89"/>
      <c r="H61" s="91"/>
      <c r="I61" s="93">
        <f t="shared" si="1"/>
        <v>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81"/>
      <c r="B62" s="83"/>
      <c r="C62" s="85"/>
      <c r="D62" s="83"/>
      <c r="E62" s="85"/>
      <c r="F62" s="87"/>
      <c r="G62" s="89"/>
      <c r="H62" s="91"/>
      <c r="I62" s="93">
        <f t="shared" si="1"/>
        <v>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81"/>
      <c r="B63" s="83"/>
      <c r="C63" s="85"/>
      <c r="D63" s="83"/>
      <c r="E63" s="85"/>
      <c r="F63" s="87"/>
      <c r="G63" s="89"/>
      <c r="H63" s="91"/>
      <c r="I63" s="93">
        <f t="shared" si="1"/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81"/>
      <c r="B64" s="83"/>
      <c r="C64" s="85"/>
      <c r="D64" s="83"/>
      <c r="E64" s="85"/>
      <c r="F64" s="87"/>
      <c r="G64" s="89"/>
      <c r="H64" s="91"/>
      <c r="I64" s="93">
        <f t="shared" si="1"/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81"/>
      <c r="B65" s="83"/>
      <c r="C65" s="85"/>
      <c r="D65" s="83"/>
      <c r="E65" s="85"/>
      <c r="F65" s="87"/>
      <c r="G65" s="89"/>
      <c r="H65" s="91"/>
      <c r="I65" s="93">
        <f t="shared" si="1"/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81"/>
      <c r="B66" s="83"/>
      <c r="C66" s="85"/>
      <c r="D66" s="83"/>
      <c r="E66" s="85"/>
      <c r="F66" s="87"/>
      <c r="G66" s="89"/>
      <c r="H66" s="91"/>
      <c r="I66" s="93">
        <f t="shared" si="1"/>
        <v>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81"/>
      <c r="B67" s="83"/>
      <c r="C67" s="85"/>
      <c r="D67" s="83"/>
      <c r="E67" s="85"/>
      <c r="F67" s="87"/>
      <c r="G67" s="89"/>
      <c r="H67" s="91"/>
      <c r="I67" s="93">
        <f t="shared" si="1"/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81"/>
      <c r="B68" s="83"/>
      <c r="C68" s="85"/>
      <c r="D68" s="83"/>
      <c r="E68" s="85"/>
      <c r="F68" s="87"/>
      <c r="G68" s="89"/>
      <c r="H68" s="91"/>
      <c r="I68" s="93">
        <f t="shared" si="1"/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81"/>
      <c r="B69" s="83"/>
      <c r="C69" s="85"/>
      <c r="D69" s="83"/>
      <c r="E69" s="85"/>
      <c r="F69" s="87"/>
      <c r="G69" s="89"/>
      <c r="H69" s="91"/>
      <c r="I69" s="93">
        <f t="shared" si="1"/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81"/>
      <c r="B70" s="83"/>
      <c r="C70" s="85"/>
      <c r="D70" s="83"/>
      <c r="E70" s="85"/>
      <c r="F70" s="87"/>
      <c r="G70" s="89"/>
      <c r="H70" s="91"/>
      <c r="I70" s="93">
        <f t="shared" si="1"/>
        <v>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81"/>
      <c r="B71" s="83"/>
      <c r="C71" s="85"/>
      <c r="D71" s="83"/>
      <c r="E71" s="85"/>
      <c r="F71" s="87"/>
      <c r="G71" s="89"/>
      <c r="H71" s="91"/>
      <c r="I71" s="93">
        <f t="shared" si="1"/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81"/>
      <c r="B72" s="83"/>
      <c r="C72" s="85"/>
      <c r="D72" s="83"/>
      <c r="E72" s="85"/>
      <c r="F72" s="87"/>
      <c r="G72" s="89"/>
      <c r="H72" s="91"/>
      <c r="I72" s="93">
        <f t="shared" si="1"/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81"/>
      <c r="B73" s="83"/>
      <c r="C73" s="85"/>
      <c r="D73" s="83"/>
      <c r="E73" s="85"/>
      <c r="F73" s="87"/>
      <c r="G73" s="89"/>
      <c r="H73" s="91"/>
      <c r="I73" s="93">
        <f t="shared" si="1"/>
        <v>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81"/>
      <c r="B74" s="83"/>
      <c r="C74" s="85"/>
      <c r="D74" s="83"/>
      <c r="E74" s="85"/>
      <c r="F74" s="87"/>
      <c r="G74" s="89"/>
      <c r="H74" s="91"/>
      <c r="I74" s="93">
        <f t="shared" si="1"/>
        <v>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81"/>
      <c r="B75" s="83"/>
      <c r="C75" s="85"/>
      <c r="D75" s="83"/>
      <c r="E75" s="85"/>
      <c r="F75" s="87"/>
      <c r="G75" s="89"/>
      <c r="H75" s="91"/>
      <c r="I75" s="93">
        <f t="shared" si="1"/>
        <v>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81"/>
      <c r="B76" s="83"/>
      <c r="C76" s="85"/>
      <c r="D76" s="83"/>
      <c r="E76" s="85"/>
      <c r="F76" s="87"/>
      <c r="G76" s="89"/>
      <c r="H76" s="91"/>
      <c r="I76" s="93">
        <f t="shared" si="1"/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81"/>
      <c r="B77" s="83"/>
      <c r="C77" s="85"/>
      <c r="D77" s="83"/>
      <c r="E77" s="85"/>
      <c r="F77" s="87"/>
      <c r="G77" s="89"/>
      <c r="H77" s="91"/>
      <c r="I77" s="93">
        <f t="shared" si="1"/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81"/>
      <c r="B78" s="83"/>
      <c r="C78" s="85"/>
      <c r="D78" s="83"/>
      <c r="E78" s="85"/>
      <c r="F78" s="87"/>
      <c r="G78" s="89"/>
      <c r="H78" s="91"/>
      <c r="I78" s="93">
        <f t="shared" si="1"/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81"/>
      <c r="B79" s="83"/>
      <c r="C79" s="85"/>
      <c r="D79" s="83"/>
      <c r="E79" s="85"/>
      <c r="F79" s="87"/>
      <c r="G79" s="89"/>
      <c r="H79" s="91"/>
      <c r="I79" s="93">
        <f t="shared" si="1"/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81"/>
      <c r="B80" s="83"/>
      <c r="C80" s="85"/>
      <c r="D80" s="83"/>
      <c r="E80" s="85"/>
      <c r="F80" s="87"/>
      <c r="G80" s="89"/>
      <c r="H80" s="91"/>
      <c r="I80" s="93">
        <f t="shared" si="1"/>
        <v>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81"/>
      <c r="B81" s="83"/>
      <c r="C81" s="85"/>
      <c r="D81" s="83"/>
      <c r="E81" s="85"/>
      <c r="F81" s="87"/>
      <c r="G81" s="89"/>
      <c r="H81" s="91"/>
      <c r="I81" s="93">
        <f t="shared" si="1"/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81"/>
      <c r="B82" s="83"/>
      <c r="C82" s="85"/>
      <c r="D82" s="83"/>
      <c r="E82" s="85"/>
      <c r="F82" s="87"/>
      <c r="G82" s="89"/>
      <c r="H82" s="91"/>
      <c r="I82" s="93">
        <f t="shared" si="1"/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81"/>
      <c r="B83" s="83"/>
      <c r="C83" s="85"/>
      <c r="D83" s="83"/>
      <c r="E83" s="85"/>
      <c r="F83" s="87"/>
      <c r="G83" s="89"/>
      <c r="H83" s="91"/>
      <c r="I83" s="93">
        <f t="shared" si="1"/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81"/>
      <c r="B84" s="83"/>
      <c r="C84" s="85"/>
      <c r="D84" s="83"/>
      <c r="E84" s="85"/>
      <c r="F84" s="87"/>
      <c r="G84" s="89"/>
      <c r="H84" s="91"/>
      <c r="I84" s="93">
        <f t="shared" si="1"/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81"/>
      <c r="B85" s="83"/>
      <c r="C85" s="85"/>
      <c r="D85" s="83"/>
      <c r="E85" s="85"/>
      <c r="F85" s="87"/>
      <c r="G85" s="89"/>
      <c r="H85" s="91"/>
      <c r="I85" s="93">
        <f t="shared" si="1"/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81"/>
      <c r="B86" s="83"/>
      <c r="C86" s="85"/>
      <c r="D86" s="83"/>
      <c r="E86" s="85"/>
      <c r="F86" s="87"/>
      <c r="G86" s="89"/>
      <c r="H86" s="91"/>
      <c r="I86" s="93">
        <f t="shared" si="1"/>
        <v>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81"/>
      <c r="B87" s="83"/>
      <c r="C87" s="85"/>
      <c r="D87" s="83"/>
      <c r="E87" s="85"/>
      <c r="F87" s="87"/>
      <c r="G87" s="89"/>
      <c r="H87" s="91"/>
      <c r="I87" s="93">
        <f t="shared" si="1"/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81"/>
      <c r="B88" s="83"/>
      <c r="C88" s="85"/>
      <c r="D88" s="83"/>
      <c r="E88" s="85"/>
      <c r="F88" s="87"/>
      <c r="G88" s="89"/>
      <c r="H88" s="91"/>
      <c r="I88" s="93">
        <f t="shared" si="1"/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81"/>
      <c r="B89" s="83"/>
      <c r="C89" s="85"/>
      <c r="D89" s="83"/>
      <c r="E89" s="85"/>
      <c r="F89" s="87"/>
      <c r="G89" s="89"/>
      <c r="H89" s="91"/>
      <c r="I89" s="93">
        <f t="shared" si="1"/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81"/>
      <c r="B90" s="83"/>
      <c r="C90" s="85"/>
      <c r="D90" s="83"/>
      <c r="E90" s="85"/>
      <c r="F90" s="87"/>
      <c r="G90" s="89"/>
      <c r="H90" s="91"/>
      <c r="I90" s="93">
        <f t="shared" si="1"/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81"/>
      <c r="B91" s="83"/>
      <c r="C91" s="85"/>
      <c r="D91" s="83"/>
      <c r="E91" s="85"/>
      <c r="F91" s="87"/>
      <c r="G91" s="89"/>
      <c r="H91" s="91"/>
      <c r="I91" s="93">
        <f t="shared" si="1"/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81"/>
      <c r="B92" s="83"/>
      <c r="C92" s="85"/>
      <c r="D92" s="83"/>
      <c r="E92" s="85"/>
      <c r="F92" s="87"/>
      <c r="G92" s="89"/>
      <c r="H92" s="91"/>
      <c r="I92" s="93">
        <f t="shared" si="1"/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81"/>
      <c r="B93" s="83"/>
      <c r="C93" s="85"/>
      <c r="D93" s="83"/>
      <c r="E93" s="85"/>
      <c r="F93" s="87"/>
      <c r="G93" s="89"/>
      <c r="H93" s="91"/>
      <c r="I93" s="93">
        <f t="shared" si="1"/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81"/>
      <c r="B94" s="83"/>
      <c r="C94" s="85"/>
      <c r="D94" s="83"/>
      <c r="E94" s="85"/>
      <c r="F94" s="87"/>
      <c r="G94" s="89"/>
      <c r="H94" s="91"/>
      <c r="I94" s="93">
        <f t="shared" si="1"/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81"/>
      <c r="B95" s="83"/>
      <c r="C95" s="85"/>
      <c r="D95" s="83"/>
      <c r="E95" s="85"/>
      <c r="F95" s="87"/>
      <c r="G95" s="89"/>
      <c r="H95" s="91"/>
      <c r="I95" s="93">
        <f t="shared" si="1"/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81"/>
      <c r="B96" s="83"/>
      <c r="C96" s="85"/>
      <c r="D96" s="83"/>
      <c r="E96" s="85"/>
      <c r="F96" s="87"/>
      <c r="G96" s="89"/>
      <c r="H96" s="91"/>
      <c r="I96" s="93">
        <f t="shared" si="1"/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81"/>
      <c r="B97" s="83"/>
      <c r="C97" s="85"/>
      <c r="D97" s="83"/>
      <c r="E97" s="85"/>
      <c r="F97" s="87"/>
      <c r="G97" s="89"/>
      <c r="H97" s="91"/>
      <c r="I97" s="93">
        <f t="shared" si="1"/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81"/>
      <c r="B98" s="83"/>
      <c r="C98" s="85"/>
      <c r="D98" s="83"/>
      <c r="E98" s="85"/>
      <c r="F98" s="87"/>
      <c r="G98" s="89"/>
      <c r="H98" s="91"/>
      <c r="I98" s="93">
        <f t="shared" si="1"/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81"/>
      <c r="B99" s="83"/>
      <c r="C99" s="85"/>
      <c r="D99" s="83"/>
      <c r="E99" s="85"/>
      <c r="F99" s="87"/>
      <c r="G99" s="89"/>
      <c r="H99" s="91"/>
      <c r="I99" s="93">
        <f t="shared" si="1"/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81"/>
      <c r="B100" s="83"/>
      <c r="C100" s="85"/>
      <c r="D100" s="83"/>
      <c r="E100" s="85"/>
      <c r="F100" s="87"/>
      <c r="G100" s="89"/>
      <c r="H100" s="91"/>
      <c r="I100" s="93">
        <f t="shared" si="1"/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81"/>
      <c r="B101" s="83"/>
      <c r="C101" s="85"/>
      <c r="D101" s="83"/>
      <c r="E101" s="85"/>
      <c r="F101" s="87"/>
      <c r="G101" s="89"/>
      <c r="H101" s="91"/>
      <c r="I101" s="93">
        <f t="shared" si="1"/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81"/>
      <c r="B102" s="83"/>
      <c r="C102" s="85"/>
      <c r="D102" s="83"/>
      <c r="E102" s="85"/>
      <c r="F102" s="87"/>
      <c r="G102" s="89"/>
      <c r="H102" s="91"/>
      <c r="I102" s="93">
        <f t="shared" si="1"/>
        <v>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81"/>
      <c r="B103" s="83"/>
      <c r="C103" s="85"/>
      <c r="D103" s="83"/>
      <c r="E103" s="85"/>
      <c r="F103" s="87"/>
      <c r="G103" s="89"/>
      <c r="H103" s="91"/>
      <c r="I103" s="93">
        <f t="shared" si="1"/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81"/>
      <c r="B104" s="83"/>
      <c r="C104" s="85"/>
      <c r="D104" s="83"/>
      <c r="E104" s="85"/>
      <c r="F104" s="87"/>
      <c r="G104" s="89"/>
      <c r="H104" s="91"/>
      <c r="I104" s="93">
        <f t="shared" si="1"/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81"/>
      <c r="B105" s="83"/>
      <c r="C105" s="85"/>
      <c r="D105" s="83"/>
      <c r="E105" s="85"/>
      <c r="F105" s="87"/>
      <c r="G105" s="89"/>
      <c r="H105" s="91"/>
      <c r="I105" s="93">
        <f t="shared" si="1"/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81"/>
      <c r="B106" s="83"/>
      <c r="C106" s="85"/>
      <c r="D106" s="83"/>
      <c r="E106" s="85"/>
      <c r="F106" s="87"/>
      <c r="G106" s="89"/>
      <c r="H106" s="91"/>
      <c r="I106" s="93">
        <f t="shared" si="1"/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81"/>
      <c r="B107" s="83"/>
      <c r="C107" s="85"/>
      <c r="D107" s="83"/>
      <c r="E107" s="85"/>
      <c r="F107" s="87"/>
      <c r="G107" s="89"/>
      <c r="H107" s="91"/>
      <c r="I107" s="93">
        <f t="shared" si="1"/>
        <v>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81"/>
      <c r="B108" s="83"/>
      <c r="C108" s="85"/>
      <c r="D108" s="83"/>
      <c r="E108" s="85"/>
      <c r="F108" s="87"/>
      <c r="G108" s="89"/>
      <c r="H108" s="91"/>
      <c r="I108" s="93">
        <f t="shared" si="1"/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81"/>
      <c r="B109" s="83"/>
      <c r="C109" s="85"/>
      <c r="D109" s="83"/>
      <c r="E109" s="85"/>
      <c r="F109" s="87"/>
      <c r="G109" s="89"/>
      <c r="H109" s="91"/>
      <c r="I109" s="93">
        <f t="shared" si="1"/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81"/>
      <c r="B110" s="83"/>
      <c r="C110" s="85"/>
      <c r="D110" s="83"/>
      <c r="E110" s="85"/>
      <c r="F110" s="87"/>
      <c r="G110" s="89"/>
      <c r="H110" s="91"/>
      <c r="I110" s="93">
        <f t="shared" si="1"/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81"/>
      <c r="B111" s="83"/>
      <c r="C111" s="85"/>
      <c r="D111" s="83"/>
      <c r="E111" s="85"/>
      <c r="F111" s="87"/>
      <c r="G111" s="89"/>
      <c r="H111" s="91"/>
      <c r="I111" s="93">
        <f t="shared" si="1"/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81"/>
      <c r="B112" s="83"/>
      <c r="C112" s="85"/>
      <c r="D112" s="83"/>
      <c r="E112" s="85"/>
      <c r="F112" s="87"/>
      <c r="G112" s="89"/>
      <c r="H112" s="91"/>
      <c r="I112" s="93">
        <f t="shared" si="1"/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81"/>
      <c r="B113" s="83"/>
      <c r="C113" s="85"/>
      <c r="D113" s="83"/>
      <c r="E113" s="85"/>
      <c r="F113" s="87"/>
      <c r="G113" s="89"/>
      <c r="H113" s="91"/>
      <c r="I113" s="93">
        <f t="shared" si="1"/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81"/>
      <c r="B114" s="83"/>
      <c r="C114" s="85"/>
      <c r="D114" s="83"/>
      <c r="E114" s="85"/>
      <c r="F114" s="87"/>
      <c r="G114" s="89"/>
      <c r="H114" s="91"/>
      <c r="I114" s="93">
        <f t="shared" si="1"/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81"/>
      <c r="B115" s="83"/>
      <c r="C115" s="85"/>
      <c r="D115" s="83"/>
      <c r="E115" s="85"/>
      <c r="F115" s="87"/>
      <c r="G115" s="89"/>
      <c r="H115" s="91"/>
      <c r="I115" s="93">
        <f t="shared" si="1"/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81"/>
      <c r="B116" s="83"/>
      <c r="C116" s="85"/>
      <c r="D116" s="83"/>
      <c r="E116" s="85"/>
      <c r="F116" s="87"/>
      <c r="G116" s="89"/>
      <c r="H116" s="91"/>
      <c r="I116" s="93">
        <f t="shared" si="1"/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81"/>
      <c r="B117" s="83"/>
      <c r="C117" s="85"/>
      <c r="D117" s="83"/>
      <c r="E117" s="85"/>
      <c r="F117" s="87"/>
      <c r="G117" s="89"/>
      <c r="H117" s="91"/>
      <c r="I117" s="93">
        <f t="shared" si="1"/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81"/>
      <c r="B118" s="83"/>
      <c r="C118" s="85"/>
      <c r="D118" s="83"/>
      <c r="E118" s="85"/>
      <c r="F118" s="87"/>
      <c r="G118" s="89"/>
      <c r="H118" s="91"/>
      <c r="I118" s="93">
        <f t="shared" si="1"/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81"/>
      <c r="B119" s="83"/>
      <c r="C119" s="85"/>
      <c r="D119" s="83"/>
      <c r="E119" s="85"/>
      <c r="F119" s="87"/>
      <c r="G119" s="89"/>
      <c r="H119" s="91"/>
      <c r="I119" s="93">
        <f t="shared" si="1"/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81"/>
      <c r="B120" s="83"/>
      <c r="C120" s="85"/>
      <c r="D120" s="83"/>
      <c r="E120" s="85"/>
      <c r="F120" s="87"/>
      <c r="G120" s="89"/>
      <c r="H120" s="91"/>
      <c r="I120" s="93">
        <f t="shared" si="1"/>
        <v>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81"/>
      <c r="B121" s="83"/>
      <c r="C121" s="85"/>
      <c r="D121" s="83"/>
      <c r="E121" s="85"/>
      <c r="F121" s="87"/>
      <c r="G121" s="89"/>
      <c r="H121" s="91"/>
      <c r="I121" s="93">
        <f t="shared" si="1"/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81"/>
      <c r="B122" s="83"/>
      <c r="C122" s="85"/>
      <c r="D122" s="83"/>
      <c r="E122" s="85"/>
      <c r="F122" s="87"/>
      <c r="G122" s="89"/>
      <c r="H122" s="91"/>
      <c r="I122" s="93">
        <f t="shared" si="1"/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81"/>
      <c r="B123" s="83"/>
      <c r="C123" s="85"/>
      <c r="D123" s="83"/>
      <c r="E123" s="85"/>
      <c r="F123" s="87"/>
      <c r="G123" s="89"/>
      <c r="H123" s="91"/>
      <c r="I123" s="93">
        <f t="shared" si="1"/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81"/>
      <c r="B124" s="83"/>
      <c r="C124" s="85"/>
      <c r="D124" s="83"/>
      <c r="E124" s="85"/>
      <c r="F124" s="87"/>
      <c r="G124" s="89"/>
      <c r="H124" s="91"/>
      <c r="I124" s="93">
        <f t="shared" si="1"/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81"/>
      <c r="B125" s="83"/>
      <c r="C125" s="85"/>
      <c r="D125" s="83"/>
      <c r="E125" s="85"/>
      <c r="F125" s="87"/>
      <c r="G125" s="89"/>
      <c r="H125" s="91"/>
      <c r="I125" s="93">
        <f t="shared" si="1"/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81"/>
      <c r="B126" s="83"/>
      <c r="C126" s="85"/>
      <c r="D126" s="83"/>
      <c r="E126" s="85"/>
      <c r="F126" s="87"/>
      <c r="G126" s="89"/>
      <c r="H126" s="91"/>
      <c r="I126" s="93">
        <f t="shared" si="1"/>
        <v>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81"/>
      <c r="B127" s="83"/>
      <c r="C127" s="85"/>
      <c r="D127" s="83"/>
      <c r="E127" s="85"/>
      <c r="F127" s="87"/>
      <c r="G127" s="89"/>
      <c r="H127" s="91"/>
      <c r="I127" s="93">
        <f t="shared" si="1"/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81"/>
      <c r="B128" s="83"/>
      <c r="C128" s="85"/>
      <c r="D128" s="83"/>
      <c r="E128" s="85"/>
      <c r="F128" s="87"/>
      <c r="G128" s="89"/>
      <c r="H128" s="91"/>
      <c r="I128" s="93">
        <f t="shared" si="1"/>
        <v>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81"/>
      <c r="B129" s="83"/>
      <c r="C129" s="85"/>
      <c r="D129" s="83"/>
      <c r="E129" s="85"/>
      <c r="F129" s="87"/>
      <c r="G129" s="89"/>
      <c r="H129" s="91"/>
      <c r="I129" s="93">
        <f t="shared" si="1"/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81"/>
      <c r="B130" s="83"/>
      <c r="C130" s="85"/>
      <c r="D130" s="83"/>
      <c r="E130" s="85"/>
      <c r="F130" s="87"/>
      <c r="G130" s="89"/>
      <c r="H130" s="91"/>
      <c r="I130" s="93">
        <f t="shared" si="1"/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81"/>
      <c r="B131" s="83"/>
      <c r="C131" s="85"/>
      <c r="D131" s="83"/>
      <c r="E131" s="85"/>
      <c r="F131" s="87"/>
      <c r="G131" s="89"/>
      <c r="H131" s="91"/>
      <c r="I131" s="93">
        <f t="shared" si="1"/>
        <v>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81"/>
      <c r="B132" s="83"/>
      <c r="C132" s="85"/>
      <c r="D132" s="83"/>
      <c r="E132" s="85"/>
      <c r="F132" s="87"/>
      <c r="G132" s="89"/>
      <c r="H132" s="91"/>
      <c r="I132" s="93">
        <f t="shared" si="1"/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81"/>
      <c r="B133" s="83"/>
      <c r="C133" s="85"/>
      <c r="D133" s="83"/>
      <c r="E133" s="85"/>
      <c r="F133" s="87"/>
      <c r="G133" s="89"/>
      <c r="H133" s="91"/>
      <c r="I133" s="93">
        <f t="shared" si="1"/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81"/>
      <c r="B134" s="83"/>
      <c r="C134" s="85"/>
      <c r="D134" s="83"/>
      <c r="E134" s="85"/>
      <c r="F134" s="87"/>
      <c r="G134" s="89"/>
      <c r="H134" s="91"/>
      <c r="I134" s="93">
        <f t="shared" si="1"/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81"/>
      <c r="B135" s="83"/>
      <c r="C135" s="85"/>
      <c r="D135" s="83"/>
      <c r="E135" s="85"/>
      <c r="F135" s="87"/>
      <c r="G135" s="89"/>
      <c r="H135" s="91"/>
      <c r="I135" s="93">
        <f t="shared" si="1"/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81"/>
      <c r="B136" s="83"/>
      <c r="C136" s="85"/>
      <c r="D136" s="83"/>
      <c r="E136" s="85"/>
      <c r="F136" s="87"/>
      <c r="G136" s="89"/>
      <c r="H136" s="91"/>
      <c r="I136" s="93">
        <f t="shared" si="1"/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81"/>
      <c r="B137" s="83"/>
      <c r="C137" s="85"/>
      <c r="D137" s="83"/>
      <c r="E137" s="85"/>
      <c r="F137" s="87"/>
      <c r="G137" s="89"/>
      <c r="H137" s="91"/>
      <c r="I137" s="93">
        <f t="shared" si="1"/>
        <v>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81"/>
      <c r="B138" s="83"/>
      <c r="C138" s="85"/>
      <c r="D138" s="83"/>
      <c r="E138" s="85"/>
      <c r="F138" s="87"/>
      <c r="G138" s="89"/>
      <c r="H138" s="91"/>
      <c r="I138" s="93">
        <f t="shared" si="1"/>
        <v>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81"/>
      <c r="B139" s="83"/>
      <c r="C139" s="85"/>
      <c r="D139" s="83"/>
      <c r="E139" s="85"/>
      <c r="F139" s="87"/>
      <c r="G139" s="89"/>
      <c r="H139" s="91"/>
      <c r="I139" s="93">
        <f t="shared" si="1"/>
        <v>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81"/>
      <c r="B140" s="83"/>
      <c r="C140" s="85"/>
      <c r="D140" s="83"/>
      <c r="E140" s="85"/>
      <c r="F140" s="87"/>
      <c r="G140" s="89"/>
      <c r="H140" s="91"/>
      <c r="I140" s="93">
        <f t="shared" si="1"/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81"/>
      <c r="B141" s="83"/>
      <c r="C141" s="85"/>
      <c r="D141" s="83"/>
      <c r="E141" s="85"/>
      <c r="F141" s="87"/>
      <c r="G141" s="89"/>
      <c r="H141" s="91"/>
      <c r="I141" s="93">
        <f t="shared" si="1"/>
        <v>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81"/>
      <c r="B142" s="83"/>
      <c r="C142" s="85"/>
      <c r="D142" s="83"/>
      <c r="E142" s="85"/>
      <c r="F142" s="87"/>
      <c r="G142" s="89"/>
      <c r="H142" s="91"/>
      <c r="I142" s="93">
        <f t="shared" si="1"/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81"/>
      <c r="B143" s="83"/>
      <c r="C143" s="85"/>
      <c r="D143" s="83"/>
      <c r="E143" s="85"/>
      <c r="F143" s="87"/>
      <c r="G143" s="89"/>
      <c r="H143" s="91"/>
      <c r="I143" s="93">
        <f t="shared" si="1"/>
        <v>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81"/>
      <c r="B144" s="83"/>
      <c r="C144" s="85"/>
      <c r="D144" s="83"/>
      <c r="E144" s="85"/>
      <c r="F144" s="87"/>
      <c r="G144" s="89"/>
      <c r="H144" s="91"/>
      <c r="I144" s="93">
        <f t="shared" si="1"/>
        <v>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81"/>
      <c r="B145" s="83"/>
      <c r="C145" s="85"/>
      <c r="D145" s="83"/>
      <c r="E145" s="85"/>
      <c r="F145" s="87"/>
      <c r="G145" s="89"/>
      <c r="H145" s="91"/>
      <c r="I145" s="93">
        <f t="shared" si="1"/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81"/>
      <c r="B146" s="83"/>
      <c r="C146" s="85"/>
      <c r="D146" s="83"/>
      <c r="E146" s="85"/>
      <c r="F146" s="87"/>
      <c r="G146" s="89"/>
      <c r="H146" s="91"/>
      <c r="I146" s="93">
        <f t="shared" si="1"/>
        <v>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81"/>
      <c r="B147" s="83"/>
      <c r="C147" s="85"/>
      <c r="D147" s="83"/>
      <c r="E147" s="85"/>
      <c r="F147" s="87"/>
      <c r="G147" s="89"/>
      <c r="H147" s="91"/>
      <c r="I147" s="93">
        <f t="shared" si="1"/>
        <v>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81"/>
      <c r="B148" s="83"/>
      <c r="C148" s="85"/>
      <c r="D148" s="83"/>
      <c r="E148" s="85"/>
      <c r="F148" s="87"/>
      <c r="G148" s="89"/>
      <c r="H148" s="91"/>
      <c r="I148" s="93">
        <f t="shared" si="1"/>
        <v>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81"/>
      <c r="B149" s="83"/>
      <c r="C149" s="85"/>
      <c r="D149" s="83"/>
      <c r="E149" s="85"/>
      <c r="F149" s="87"/>
      <c r="G149" s="89"/>
      <c r="H149" s="91"/>
      <c r="I149" s="93">
        <f t="shared" si="1"/>
        <v>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81"/>
      <c r="B150" s="83"/>
      <c r="C150" s="85"/>
      <c r="D150" s="83"/>
      <c r="E150" s="85"/>
      <c r="F150" s="87"/>
      <c r="G150" s="89"/>
      <c r="H150" s="91"/>
      <c r="I150" s="93">
        <f t="shared" si="1"/>
        <v>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81"/>
      <c r="B151" s="83"/>
      <c r="C151" s="85"/>
      <c r="D151" s="83"/>
      <c r="E151" s="85"/>
      <c r="F151" s="87"/>
      <c r="G151" s="89"/>
      <c r="H151" s="91"/>
      <c r="I151" s="93">
        <f t="shared" si="1"/>
        <v>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81"/>
      <c r="B152" s="83"/>
      <c r="C152" s="85"/>
      <c r="D152" s="83"/>
      <c r="E152" s="85"/>
      <c r="F152" s="87"/>
      <c r="G152" s="89"/>
      <c r="H152" s="91"/>
      <c r="I152" s="93">
        <f t="shared" si="1"/>
        <v>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81"/>
      <c r="B153" s="83"/>
      <c r="C153" s="85"/>
      <c r="D153" s="83"/>
      <c r="E153" s="85"/>
      <c r="F153" s="87"/>
      <c r="G153" s="89"/>
      <c r="H153" s="91"/>
      <c r="I153" s="93">
        <f t="shared" si="1"/>
        <v>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81"/>
      <c r="B154" s="83"/>
      <c r="C154" s="85"/>
      <c r="D154" s="83"/>
      <c r="E154" s="85"/>
      <c r="F154" s="87"/>
      <c r="G154" s="89"/>
      <c r="H154" s="91"/>
      <c r="I154" s="93">
        <f t="shared" si="1"/>
        <v>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81"/>
      <c r="B155" s="83"/>
      <c r="C155" s="85"/>
      <c r="D155" s="83"/>
      <c r="E155" s="85"/>
      <c r="F155" s="87"/>
      <c r="G155" s="89"/>
      <c r="H155" s="91"/>
      <c r="I155" s="93">
        <f t="shared" si="1"/>
        <v>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81"/>
      <c r="B156" s="83"/>
      <c r="C156" s="85"/>
      <c r="D156" s="83"/>
      <c r="E156" s="85"/>
      <c r="F156" s="87"/>
      <c r="G156" s="89"/>
      <c r="H156" s="91"/>
      <c r="I156" s="93">
        <f t="shared" si="1"/>
        <v>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81"/>
      <c r="B157" s="83"/>
      <c r="C157" s="85"/>
      <c r="D157" s="83"/>
      <c r="E157" s="85"/>
      <c r="F157" s="87"/>
      <c r="G157" s="89"/>
      <c r="H157" s="91"/>
      <c r="I157" s="93">
        <f t="shared" si="1"/>
        <v>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81"/>
      <c r="B158" s="83"/>
      <c r="C158" s="85"/>
      <c r="D158" s="83"/>
      <c r="E158" s="85"/>
      <c r="F158" s="87"/>
      <c r="G158" s="89"/>
      <c r="H158" s="91"/>
      <c r="I158" s="93">
        <f t="shared" si="1"/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81"/>
      <c r="B159" s="83"/>
      <c r="C159" s="85"/>
      <c r="D159" s="83"/>
      <c r="E159" s="85"/>
      <c r="F159" s="87"/>
      <c r="G159" s="89"/>
      <c r="H159" s="91"/>
      <c r="I159" s="93">
        <f t="shared" si="1"/>
        <v>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81"/>
      <c r="B160" s="83"/>
      <c r="C160" s="85"/>
      <c r="D160" s="83"/>
      <c r="E160" s="85"/>
      <c r="F160" s="87"/>
      <c r="G160" s="89"/>
      <c r="H160" s="91"/>
      <c r="I160" s="93">
        <f t="shared" si="1"/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81"/>
      <c r="B161" s="83"/>
      <c r="C161" s="85"/>
      <c r="D161" s="83"/>
      <c r="E161" s="85"/>
      <c r="F161" s="87"/>
      <c r="G161" s="89"/>
      <c r="H161" s="91"/>
      <c r="I161" s="93">
        <f t="shared" si="1"/>
        <v>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81"/>
      <c r="B162" s="83"/>
      <c r="C162" s="85"/>
      <c r="D162" s="83"/>
      <c r="E162" s="85"/>
      <c r="F162" s="87"/>
      <c r="G162" s="89"/>
      <c r="H162" s="91"/>
      <c r="I162" s="93">
        <f t="shared" si="1"/>
        <v>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81"/>
      <c r="B163" s="83"/>
      <c r="C163" s="85"/>
      <c r="D163" s="83"/>
      <c r="E163" s="85"/>
      <c r="F163" s="87"/>
      <c r="G163" s="89"/>
      <c r="H163" s="91"/>
      <c r="I163" s="93">
        <f t="shared" si="1"/>
        <v>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81"/>
      <c r="B164" s="83"/>
      <c r="C164" s="85"/>
      <c r="D164" s="83"/>
      <c r="E164" s="85"/>
      <c r="F164" s="87"/>
      <c r="G164" s="89"/>
      <c r="H164" s="91"/>
      <c r="I164" s="93">
        <f t="shared" si="1"/>
        <v>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81"/>
      <c r="B165" s="83"/>
      <c r="C165" s="85"/>
      <c r="D165" s="83"/>
      <c r="E165" s="85"/>
      <c r="F165" s="87"/>
      <c r="G165" s="89"/>
      <c r="H165" s="91"/>
      <c r="I165" s="93">
        <f t="shared" si="1"/>
        <v>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81"/>
      <c r="B166" s="83"/>
      <c r="C166" s="85"/>
      <c r="D166" s="83"/>
      <c r="E166" s="85"/>
      <c r="F166" s="87"/>
      <c r="G166" s="89"/>
      <c r="H166" s="91"/>
      <c r="I166" s="93">
        <f t="shared" si="1"/>
        <v>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81"/>
      <c r="B167" s="83"/>
      <c r="C167" s="85"/>
      <c r="D167" s="83"/>
      <c r="E167" s="85"/>
      <c r="F167" s="87"/>
      <c r="G167" s="89"/>
      <c r="H167" s="91"/>
      <c r="I167" s="93">
        <f t="shared" si="1"/>
        <v>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81"/>
      <c r="B168" s="83"/>
      <c r="C168" s="85"/>
      <c r="D168" s="83"/>
      <c r="E168" s="85"/>
      <c r="F168" s="87"/>
      <c r="G168" s="89"/>
      <c r="H168" s="91"/>
      <c r="I168" s="93">
        <f t="shared" si="1"/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81"/>
      <c r="B169" s="83"/>
      <c r="C169" s="85"/>
      <c r="D169" s="83"/>
      <c r="E169" s="85"/>
      <c r="F169" s="87"/>
      <c r="G169" s="89"/>
      <c r="H169" s="91"/>
      <c r="I169" s="93">
        <f t="shared" si="1"/>
        <v>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81"/>
      <c r="B170" s="83"/>
      <c r="C170" s="85"/>
      <c r="D170" s="83"/>
      <c r="E170" s="85"/>
      <c r="F170" s="87"/>
      <c r="G170" s="89"/>
      <c r="H170" s="91"/>
      <c r="I170" s="93">
        <f t="shared" si="1"/>
        <v>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81"/>
      <c r="B171" s="83"/>
      <c r="C171" s="85"/>
      <c r="D171" s="83"/>
      <c r="E171" s="85"/>
      <c r="F171" s="87"/>
      <c r="G171" s="89"/>
      <c r="H171" s="91"/>
      <c r="I171" s="93">
        <f t="shared" si="1"/>
        <v>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81"/>
      <c r="B172" s="83"/>
      <c r="C172" s="85"/>
      <c r="D172" s="83"/>
      <c r="E172" s="85"/>
      <c r="F172" s="87"/>
      <c r="G172" s="89"/>
      <c r="H172" s="91"/>
      <c r="I172" s="93">
        <f t="shared" si="1"/>
        <v>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81"/>
      <c r="B173" s="83"/>
      <c r="C173" s="85"/>
      <c r="D173" s="83"/>
      <c r="E173" s="85"/>
      <c r="F173" s="87"/>
      <c r="G173" s="89"/>
      <c r="H173" s="91"/>
      <c r="I173" s="93">
        <f t="shared" si="1"/>
        <v>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81"/>
      <c r="B174" s="83"/>
      <c r="C174" s="85"/>
      <c r="D174" s="83"/>
      <c r="E174" s="85"/>
      <c r="F174" s="87"/>
      <c r="G174" s="89"/>
      <c r="H174" s="91"/>
      <c r="I174" s="93">
        <f t="shared" si="1"/>
        <v>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81"/>
      <c r="B175" s="83"/>
      <c r="C175" s="85"/>
      <c r="D175" s="83"/>
      <c r="E175" s="85"/>
      <c r="F175" s="87"/>
      <c r="G175" s="89"/>
      <c r="H175" s="91"/>
      <c r="I175" s="93">
        <f t="shared" si="1"/>
        <v>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81"/>
      <c r="B176" s="83"/>
      <c r="C176" s="85"/>
      <c r="D176" s="83"/>
      <c r="E176" s="85"/>
      <c r="F176" s="87"/>
      <c r="G176" s="89"/>
      <c r="H176" s="91"/>
      <c r="I176" s="93">
        <f t="shared" si="1"/>
        <v>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81"/>
      <c r="B177" s="83"/>
      <c r="C177" s="85"/>
      <c r="D177" s="83"/>
      <c r="E177" s="85"/>
      <c r="F177" s="87"/>
      <c r="G177" s="89"/>
      <c r="H177" s="91"/>
      <c r="I177" s="93">
        <f t="shared" si="1"/>
        <v>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81"/>
      <c r="B178" s="83"/>
      <c r="C178" s="85"/>
      <c r="D178" s="83"/>
      <c r="E178" s="85"/>
      <c r="F178" s="87"/>
      <c r="G178" s="89"/>
      <c r="H178" s="91"/>
      <c r="I178" s="93">
        <f t="shared" si="1"/>
        <v>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81"/>
      <c r="B179" s="83"/>
      <c r="C179" s="85"/>
      <c r="D179" s="83"/>
      <c r="E179" s="85"/>
      <c r="F179" s="87"/>
      <c r="G179" s="89"/>
      <c r="H179" s="91"/>
      <c r="I179" s="93">
        <f t="shared" si="1"/>
        <v>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81"/>
      <c r="B180" s="83"/>
      <c r="C180" s="85"/>
      <c r="D180" s="83"/>
      <c r="E180" s="85"/>
      <c r="F180" s="87"/>
      <c r="G180" s="89"/>
      <c r="H180" s="91"/>
      <c r="I180" s="93">
        <f t="shared" si="1"/>
        <v>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81"/>
      <c r="B181" s="83"/>
      <c r="C181" s="85"/>
      <c r="D181" s="83"/>
      <c r="E181" s="85"/>
      <c r="F181" s="87"/>
      <c r="G181" s="89"/>
      <c r="H181" s="91"/>
      <c r="I181" s="93">
        <f t="shared" si="1"/>
        <v>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81"/>
      <c r="B182" s="83"/>
      <c r="C182" s="85"/>
      <c r="D182" s="83"/>
      <c r="E182" s="85"/>
      <c r="F182" s="87"/>
      <c r="G182" s="89"/>
      <c r="H182" s="91"/>
      <c r="I182" s="93">
        <f t="shared" si="1"/>
        <v>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81"/>
      <c r="B183" s="83"/>
      <c r="C183" s="85"/>
      <c r="D183" s="83"/>
      <c r="E183" s="85"/>
      <c r="F183" s="87"/>
      <c r="G183" s="89"/>
      <c r="H183" s="91"/>
      <c r="I183" s="93">
        <f t="shared" si="1"/>
        <v>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81"/>
      <c r="B184" s="83"/>
      <c r="C184" s="85"/>
      <c r="D184" s="83"/>
      <c r="E184" s="85"/>
      <c r="F184" s="87"/>
      <c r="G184" s="89"/>
      <c r="H184" s="91"/>
      <c r="I184" s="93">
        <f t="shared" si="1"/>
        <v>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81"/>
      <c r="B185" s="83"/>
      <c r="C185" s="85"/>
      <c r="D185" s="83"/>
      <c r="E185" s="85"/>
      <c r="F185" s="87"/>
      <c r="G185" s="89"/>
      <c r="H185" s="91"/>
      <c r="I185" s="93">
        <f t="shared" si="1"/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81"/>
      <c r="B186" s="83"/>
      <c r="C186" s="85"/>
      <c r="D186" s="83"/>
      <c r="E186" s="85"/>
      <c r="F186" s="87"/>
      <c r="G186" s="89"/>
      <c r="H186" s="91"/>
      <c r="I186" s="93">
        <f t="shared" si="1"/>
        <v>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81"/>
      <c r="B187" s="83"/>
      <c r="C187" s="85"/>
      <c r="D187" s="83"/>
      <c r="E187" s="85"/>
      <c r="F187" s="87"/>
      <c r="G187" s="89"/>
      <c r="H187" s="91"/>
      <c r="I187" s="93">
        <f t="shared" si="1"/>
        <v>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81"/>
      <c r="B188" s="83"/>
      <c r="C188" s="85"/>
      <c r="D188" s="83"/>
      <c r="E188" s="85"/>
      <c r="F188" s="87"/>
      <c r="G188" s="89"/>
      <c r="H188" s="91"/>
      <c r="I188" s="93">
        <f t="shared" si="1"/>
        <v>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81"/>
      <c r="B189" s="83"/>
      <c r="C189" s="85"/>
      <c r="D189" s="83"/>
      <c r="E189" s="85"/>
      <c r="F189" s="87"/>
      <c r="G189" s="89"/>
      <c r="H189" s="91"/>
      <c r="I189" s="93">
        <f t="shared" si="1"/>
        <v>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81"/>
      <c r="B190" s="83"/>
      <c r="C190" s="85"/>
      <c r="D190" s="83"/>
      <c r="E190" s="85"/>
      <c r="F190" s="87"/>
      <c r="G190" s="89"/>
      <c r="H190" s="91"/>
      <c r="I190" s="93">
        <f t="shared" si="1"/>
        <v>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81"/>
      <c r="B191" s="83"/>
      <c r="C191" s="85"/>
      <c r="D191" s="83"/>
      <c r="E191" s="85"/>
      <c r="F191" s="87"/>
      <c r="G191" s="89"/>
      <c r="H191" s="91"/>
      <c r="I191" s="93">
        <f t="shared" si="1"/>
        <v>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81"/>
      <c r="B192" s="83"/>
      <c r="C192" s="85"/>
      <c r="D192" s="83"/>
      <c r="E192" s="85"/>
      <c r="F192" s="87"/>
      <c r="G192" s="89"/>
      <c r="H192" s="91"/>
      <c r="I192" s="93">
        <f t="shared" si="1"/>
        <v>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81"/>
      <c r="B193" s="83"/>
      <c r="C193" s="85"/>
      <c r="D193" s="83"/>
      <c r="E193" s="85"/>
      <c r="F193" s="87"/>
      <c r="G193" s="89"/>
      <c r="H193" s="91"/>
      <c r="I193" s="93">
        <f t="shared" si="1"/>
        <v>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81"/>
      <c r="B194" s="83"/>
      <c r="C194" s="85"/>
      <c r="D194" s="83"/>
      <c r="E194" s="85"/>
      <c r="F194" s="87"/>
      <c r="G194" s="89"/>
      <c r="H194" s="91"/>
      <c r="I194" s="93">
        <f t="shared" si="1"/>
        <v>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81"/>
      <c r="B195" s="83"/>
      <c r="C195" s="85"/>
      <c r="D195" s="83"/>
      <c r="E195" s="85"/>
      <c r="F195" s="87"/>
      <c r="G195" s="89"/>
      <c r="H195" s="91"/>
      <c r="I195" s="93">
        <f t="shared" si="1"/>
        <v>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81"/>
      <c r="B196" s="83"/>
      <c r="C196" s="85"/>
      <c r="D196" s="83"/>
      <c r="E196" s="85"/>
      <c r="F196" s="87"/>
      <c r="G196" s="89"/>
      <c r="H196" s="91"/>
      <c r="I196" s="93">
        <f t="shared" si="1"/>
        <v>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81"/>
      <c r="B197" s="83"/>
      <c r="C197" s="85"/>
      <c r="D197" s="83"/>
      <c r="E197" s="85"/>
      <c r="F197" s="87"/>
      <c r="G197" s="89"/>
      <c r="H197" s="91"/>
      <c r="I197" s="93">
        <f t="shared" si="1"/>
        <v>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81"/>
      <c r="B198" s="83"/>
      <c r="C198" s="85"/>
      <c r="D198" s="83"/>
      <c r="E198" s="85"/>
      <c r="F198" s="87"/>
      <c r="G198" s="89"/>
      <c r="H198" s="91"/>
      <c r="I198" s="93">
        <f t="shared" si="1"/>
        <v>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81"/>
      <c r="B199" s="83"/>
      <c r="C199" s="85"/>
      <c r="D199" s="83"/>
      <c r="E199" s="85"/>
      <c r="F199" s="87"/>
      <c r="G199" s="89"/>
      <c r="H199" s="91"/>
      <c r="I199" s="93">
        <f t="shared" si="1"/>
        <v>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81"/>
      <c r="B200" s="83"/>
      <c r="C200" s="85"/>
      <c r="D200" s="83"/>
      <c r="E200" s="85"/>
      <c r="F200" s="87"/>
      <c r="G200" s="89"/>
      <c r="H200" s="91"/>
      <c r="I200" s="93">
        <f t="shared" si="1"/>
        <v>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81"/>
      <c r="B201" s="83"/>
      <c r="C201" s="85"/>
      <c r="D201" s="83"/>
      <c r="E201" s="85"/>
      <c r="F201" s="87"/>
      <c r="G201" s="89"/>
      <c r="H201" s="91"/>
      <c r="I201" s="93">
        <f t="shared" si="1"/>
        <v>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81"/>
      <c r="B202" s="83"/>
      <c r="C202" s="85"/>
      <c r="D202" s="83"/>
      <c r="E202" s="85"/>
      <c r="F202" s="87"/>
      <c r="G202" s="89"/>
      <c r="H202" s="91"/>
      <c r="I202" s="93">
        <f t="shared" si="1"/>
        <v>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81"/>
      <c r="B203" s="83"/>
      <c r="C203" s="85"/>
      <c r="D203" s="83"/>
      <c r="E203" s="85"/>
      <c r="F203" s="87"/>
      <c r="G203" s="89"/>
      <c r="H203" s="91"/>
      <c r="I203" s="93">
        <f t="shared" si="1"/>
        <v>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81"/>
      <c r="B204" s="83"/>
      <c r="C204" s="85"/>
      <c r="D204" s="83"/>
      <c r="E204" s="85"/>
      <c r="F204" s="87"/>
      <c r="G204" s="89"/>
      <c r="H204" s="91"/>
      <c r="I204" s="93">
        <f t="shared" si="1"/>
        <v>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81"/>
      <c r="B205" s="83"/>
      <c r="C205" s="85"/>
      <c r="D205" s="83"/>
      <c r="E205" s="85"/>
      <c r="F205" s="87"/>
      <c r="G205" s="89"/>
      <c r="H205" s="91"/>
      <c r="I205" s="93">
        <f t="shared" si="1"/>
        <v>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81"/>
      <c r="B206" s="83"/>
      <c r="C206" s="85"/>
      <c r="D206" s="83"/>
      <c r="E206" s="85"/>
      <c r="F206" s="87"/>
      <c r="G206" s="89"/>
      <c r="H206" s="91"/>
      <c r="I206" s="93">
        <f t="shared" si="1"/>
        <v>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81"/>
      <c r="B207" s="83"/>
      <c r="C207" s="85"/>
      <c r="D207" s="83"/>
      <c r="E207" s="85"/>
      <c r="F207" s="87"/>
      <c r="G207" s="89"/>
      <c r="H207" s="91"/>
      <c r="I207" s="93">
        <f t="shared" si="1"/>
        <v>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81"/>
      <c r="B208" s="83"/>
      <c r="C208" s="85"/>
      <c r="D208" s="83"/>
      <c r="E208" s="85"/>
      <c r="F208" s="87"/>
      <c r="G208" s="89"/>
      <c r="H208" s="91"/>
      <c r="I208" s="93">
        <f t="shared" si="1"/>
        <v>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81"/>
      <c r="B209" s="83"/>
      <c r="C209" s="85"/>
      <c r="D209" s="83"/>
      <c r="E209" s="85"/>
      <c r="F209" s="87"/>
      <c r="G209" s="89"/>
      <c r="H209" s="91"/>
      <c r="I209" s="93">
        <f t="shared" si="1"/>
        <v>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81"/>
      <c r="B210" s="83"/>
      <c r="C210" s="85"/>
      <c r="D210" s="83"/>
      <c r="E210" s="85"/>
      <c r="F210" s="87"/>
      <c r="G210" s="89"/>
      <c r="H210" s="91"/>
      <c r="I210" s="93">
        <f t="shared" si="1"/>
        <v>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81"/>
      <c r="B211" s="83"/>
      <c r="C211" s="85"/>
      <c r="D211" s="83"/>
      <c r="E211" s="85"/>
      <c r="F211" s="87"/>
      <c r="G211" s="89"/>
      <c r="H211" s="91"/>
      <c r="I211" s="93">
        <f t="shared" si="1"/>
        <v>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81"/>
      <c r="B212" s="83"/>
      <c r="C212" s="85"/>
      <c r="D212" s="83"/>
      <c r="E212" s="85"/>
      <c r="F212" s="87"/>
      <c r="G212" s="89"/>
      <c r="H212" s="91"/>
      <c r="I212" s="93">
        <f t="shared" si="1"/>
        <v>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81"/>
      <c r="B213" s="83"/>
      <c r="C213" s="85"/>
      <c r="D213" s="83"/>
      <c r="E213" s="85"/>
      <c r="F213" s="87"/>
      <c r="G213" s="89"/>
      <c r="H213" s="91"/>
      <c r="I213" s="93">
        <f t="shared" si="1"/>
        <v>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81"/>
      <c r="B214" s="83"/>
      <c r="C214" s="85"/>
      <c r="D214" s="83"/>
      <c r="E214" s="85"/>
      <c r="F214" s="87"/>
      <c r="G214" s="89"/>
      <c r="H214" s="91"/>
      <c r="I214" s="93">
        <f t="shared" si="1"/>
        <v>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81"/>
      <c r="B215" s="83"/>
      <c r="C215" s="85"/>
      <c r="D215" s="83"/>
      <c r="E215" s="85"/>
      <c r="F215" s="87"/>
      <c r="G215" s="89"/>
      <c r="H215" s="91"/>
      <c r="I215" s="93">
        <f t="shared" si="1"/>
        <v>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81"/>
      <c r="B216" s="83"/>
      <c r="C216" s="85"/>
      <c r="D216" s="83"/>
      <c r="E216" s="85"/>
      <c r="F216" s="87"/>
      <c r="G216" s="89"/>
      <c r="H216" s="91"/>
      <c r="I216" s="93">
        <f t="shared" si="1"/>
        <v>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81"/>
      <c r="B217" s="83"/>
      <c r="C217" s="85"/>
      <c r="D217" s="83"/>
      <c r="E217" s="85"/>
      <c r="F217" s="87"/>
      <c r="G217" s="89"/>
      <c r="H217" s="91"/>
      <c r="I217" s="93">
        <f t="shared" si="1"/>
        <v>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81"/>
      <c r="B218" s="83"/>
      <c r="C218" s="85"/>
      <c r="D218" s="83"/>
      <c r="E218" s="85"/>
      <c r="F218" s="87"/>
      <c r="G218" s="89"/>
      <c r="H218" s="91"/>
      <c r="I218" s="93">
        <f t="shared" si="1"/>
        <v>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81"/>
      <c r="B219" s="83"/>
      <c r="C219" s="85"/>
      <c r="D219" s="83"/>
      <c r="E219" s="85"/>
      <c r="F219" s="87"/>
      <c r="G219" s="89"/>
      <c r="H219" s="91"/>
      <c r="I219" s="93">
        <f t="shared" si="1"/>
        <v>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81"/>
      <c r="B220" s="83"/>
      <c r="C220" s="85"/>
      <c r="D220" s="83"/>
      <c r="E220" s="85"/>
      <c r="F220" s="87"/>
      <c r="G220" s="89"/>
      <c r="H220" s="91"/>
      <c r="I220" s="93">
        <f t="shared" si="1"/>
        <v>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81"/>
      <c r="B221" s="83"/>
      <c r="C221" s="85"/>
      <c r="D221" s="83"/>
      <c r="E221" s="85"/>
      <c r="F221" s="87"/>
      <c r="G221" s="89"/>
      <c r="H221" s="91"/>
      <c r="I221" s="93">
        <f t="shared" si="1"/>
        <v>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81"/>
      <c r="B222" s="83"/>
      <c r="C222" s="85"/>
      <c r="D222" s="83"/>
      <c r="E222" s="85"/>
      <c r="F222" s="87"/>
      <c r="G222" s="89"/>
      <c r="H222" s="91"/>
      <c r="I222" s="93">
        <f t="shared" si="1"/>
        <v>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81"/>
      <c r="B223" s="83"/>
      <c r="C223" s="85"/>
      <c r="D223" s="83"/>
      <c r="E223" s="85"/>
      <c r="F223" s="87"/>
      <c r="G223" s="89"/>
      <c r="H223" s="91"/>
      <c r="I223" s="93">
        <f t="shared" si="1"/>
        <v>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81"/>
      <c r="B224" s="83"/>
      <c r="C224" s="85"/>
      <c r="D224" s="83"/>
      <c r="E224" s="85"/>
      <c r="F224" s="87"/>
      <c r="G224" s="89"/>
      <c r="H224" s="91"/>
      <c r="I224" s="93">
        <f t="shared" si="1"/>
        <v>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81"/>
      <c r="B225" s="83"/>
      <c r="C225" s="85"/>
      <c r="D225" s="83"/>
      <c r="E225" s="85"/>
      <c r="F225" s="87"/>
      <c r="G225" s="89"/>
      <c r="H225" s="91"/>
      <c r="I225" s="93">
        <f t="shared" si="1"/>
        <v>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81"/>
      <c r="B226" s="83"/>
      <c r="C226" s="85"/>
      <c r="D226" s="83"/>
      <c r="E226" s="85"/>
      <c r="F226" s="87"/>
      <c r="G226" s="89"/>
      <c r="H226" s="91"/>
      <c r="I226" s="93">
        <f t="shared" si="1"/>
        <v>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81"/>
      <c r="B227" s="83"/>
      <c r="C227" s="85"/>
      <c r="D227" s="83"/>
      <c r="E227" s="85"/>
      <c r="F227" s="87"/>
      <c r="G227" s="89"/>
      <c r="H227" s="91"/>
      <c r="I227" s="93">
        <f t="shared" si="1"/>
        <v>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81"/>
      <c r="B228" s="83"/>
      <c r="C228" s="85"/>
      <c r="D228" s="83"/>
      <c r="E228" s="85"/>
      <c r="F228" s="87"/>
      <c r="G228" s="89"/>
      <c r="H228" s="91"/>
      <c r="I228" s="93">
        <f t="shared" si="1"/>
        <v>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81"/>
      <c r="B229" s="83"/>
      <c r="C229" s="85"/>
      <c r="D229" s="83"/>
      <c r="E229" s="85"/>
      <c r="F229" s="87"/>
      <c r="G229" s="89"/>
      <c r="H229" s="91"/>
      <c r="I229" s="93">
        <f t="shared" si="1"/>
        <v>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81"/>
      <c r="B230" s="83"/>
      <c r="C230" s="85"/>
      <c r="D230" s="83"/>
      <c r="E230" s="85"/>
      <c r="F230" s="87"/>
      <c r="G230" s="89"/>
      <c r="H230" s="91"/>
      <c r="I230" s="93">
        <f t="shared" si="1"/>
        <v>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81"/>
      <c r="B231" s="83"/>
      <c r="C231" s="85"/>
      <c r="D231" s="83"/>
      <c r="E231" s="85"/>
      <c r="F231" s="87"/>
      <c r="G231" s="89"/>
      <c r="H231" s="91"/>
      <c r="I231" s="93">
        <f t="shared" si="1"/>
        <v>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81"/>
      <c r="B232" s="83"/>
      <c r="C232" s="85"/>
      <c r="D232" s="83"/>
      <c r="E232" s="85"/>
      <c r="F232" s="87"/>
      <c r="G232" s="89"/>
      <c r="H232" s="91"/>
      <c r="I232" s="93">
        <f t="shared" si="1"/>
        <v>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81"/>
      <c r="B233" s="83"/>
      <c r="C233" s="85"/>
      <c r="D233" s="83"/>
      <c r="E233" s="85"/>
      <c r="F233" s="87"/>
      <c r="G233" s="89"/>
      <c r="H233" s="91"/>
      <c r="I233" s="93">
        <f t="shared" si="1"/>
        <v>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81"/>
      <c r="B234" s="83"/>
      <c r="C234" s="85"/>
      <c r="D234" s="83"/>
      <c r="E234" s="85"/>
      <c r="F234" s="87"/>
      <c r="G234" s="89"/>
      <c r="H234" s="91"/>
      <c r="I234" s="93">
        <f t="shared" si="1"/>
        <v>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81"/>
      <c r="B235" s="83"/>
      <c r="C235" s="85"/>
      <c r="D235" s="83"/>
      <c r="E235" s="85"/>
      <c r="F235" s="87"/>
      <c r="G235" s="89"/>
      <c r="H235" s="91"/>
      <c r="I235" s="93">
        <f t="shared" si="1"/>
        <v>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81"/>
      <c r="B236" s="83"/>
      <c r="C236" s="85"/>
      <c r="D236" s="83"/>
      <c r="E236" s="85"/>
      <c r="F236" s="87"/>
      <c r="G236" s="89"/>
      <c r="H236" s="91"/>
      <c r="I236" s="93">
        <f t="shared" si="1"/>
        <v>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81"/>
      <c r="B237" s="83"/>
      <c r="C237" s="85"/>
      <c r="D237" s="83"/>
      <c r="E237" s="85"/>
      <c r="F237" s="87"/>
      <c r="G237" s="89"/>
      <c r="H237" s="91"/>
      <c r="I237" s="93">
        <f t="shared" si="1"/>
        <v>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81"/>
      <c r="B238" s="83"/>
      <c r="C238" s="85"/>
      <c r="D238" s="83"/>
      <c r="E238" s="85"/>
      <c r="F238" s="87"/>
      <c r="G238" s="89"/>
      <c r="H238" s="91"/>
      <c r="I238" s="93">
        <f t="shared" si="1"/>
        <v>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81"/>
      <c r="B239" s="83"/>
      <c r="C239" s="85"/>
      <c r="D239" s="83"/>
      <c r="E239" s="85"/>
      <c r="F239" s="87"/>
      <c r="G239" s="89"/>
      <c r="H239" s="91"/>
      <c r="I239" s="93">
        <f t="shared" si="1"/>
        <v>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81"/>
      <c r="B240" s="83"/>
      <c r="C240" s="85"/>
      <c r="D240" s="83"/>
      <c r="E240" s="85"/>
      <c r="F240" s="87"/>
      <c r="G240" s="89"/>
      <c r="H240" s="91"/>
      <c r="I240" s="93">
        <f t="shared" si="1"/>
        <v>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81"/>
      <c r="B241" s="83"/>
      <c r="C241" s="85"/>
      <c r="D241" s="83"/>
      <c r="E241" s="85"/>
      <c r="F241" s="87"/>
      <c r="G241" s="89"/>
      <c r="H241" s="91"/>
      <c r="I241" s="93">
        <f t="shared" si="1"/>
        <v>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81"/>
      <c r="B242" s="83"/>
      <c r="C242" s="85"/>
      <c r="D242" s="83"/>
      <c r="E242" s="85"/>
      <c r="F242" s="87"/>
      <c r="G242" s="89"/>
      <c r="H242" s="91"/>
      <c r="I242" s="93">
        <f t="shared" si="1"/>
        <v>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81"/>
      <c r="B243" s="83"/>
      <c r="C243" s="85"/>
      <c r="D243" s="83"/>
      <c r="E243" s="85"/>
      <c r="F243" s="87"/>
      <c r="G243" s="89"/>
      <c r="H243" s="91"/>
      <c r="I243" s="93">
        <f t="shared" si="1"/>
        <v>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81"/>
      <c r="B244" s="83"/>
      <c r="C244" s="85"/>
      <c r="D244" s="83"/>
      <c r="E244" s="85"/>
      <c r="F244" s="87"/>
      <c r="G244" s="89"/>
      <c r="H244" s="91"/>
      <c r="I244" s="93">
        <f t="shared" si="1"/>
        <v>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81"/>
      <c r="B245" s="83"/>
      <c r="C245" s="85"/>
      <c r="D245" s="83"/>
      <c r="E245" s="85"/>
      <c r="F245" s="87"/>
      <c r="G245" s="89"/>
      <c r="H245" s="91"/>
      <c r="I245" s="93">
        <f t="shared" si="1"/>
        <v>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81"/>
      <c r="B246" s="83"/>
      <c r="C246" s="85"/>
      <c r="D246" s="83"/>
      <c r="E246" s="85"/>
      <c r="F246" s="87"/>
      <c r="G246" s="89"/>
      <c r="H246" s="91"/>
      <c r="I246" s="93">
        <f t="shared" si="1"/>
        <v>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81"/>
      <c r="B247" s="83"/>
      <c r="C247" s="85"/>
      <c r="D247" s="83"/>
      <c r="E247" s="85"/>
      <c r="F247" s="87"/>
      <c r="G247" s="89"/>
      <c r="H247" s="91"/>
      <c r="I247" s="93">
        <f t="shared" si="1"/>
        <v>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81"/>
      <c r="B248" s="83"/>
      <c r="C248" s="85"/>
      <c r="D248" s="83"/>
      <c r="E248" s="85"/>
      <c r="F248" s="87"/>
      <c r="G248" s="89"/>
      <c r="H248" s="91"/>
      <c r="I248" s="93">
        <f t="shared" si="1"/>
        <v>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81"/>
      <c r="B249" s="83"/>
      <c r="C249" s="85"/>
      <c r="D249" s="83"/>
      <c r="E249" s="85"/>
      <c r="F249" s="87"/>
      <c r="G249" s="89"/>
      <c r="H249" s="91"/>
      <c r="I249" s="93">
        <f t="shared" si="1"/>
        <v>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81"/>
      <c r="B250" s="83"/>
      <c r="C250" s="85"/>
      <c r="D250" s="83"/>
      <c r="E250" s="85"/>
      <c r="F250" s="87"/>
      <c r="G250" s="89"/>
      <c r="H250" s="91"/>
      <c r="I250" s="93">
        <f t="shared" si="1"/>
        <v>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81"/>
      <c r="B251" s="83"/>
      <c r="C251" s="85"/>
      <c r="D251" s="83"/>
      <c r="E251" s="85"/>
      <c r="F251" s="87"/>
      <c r="G251" s="89"/>
      <c r="H251" s="91"/>
      <c r="I251" s="93">
        <f t="shared" si="1"/>
        <v>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81"/>
      <c r="B252" s="83"/>
      <c r="C252" s="85"/>
      <c r="D252" s="83"/>
      <c r="E252" s="85"/>
      <c r="F252" s="87"/>
      <c r="G252" s="89"/>
      <c r="H252" s="91"/>
      <c r="I252" s="93">
        <f t="shared" si="1"/>
        <v>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81"/>
      <c r="B253" s="83"/>
      <c r="C253" s="85"/>
      <c r="D253" s="83"/>
      <c r="E253" s="85"/>
      <c r="F253" s="87"/>
      <c r="G253" s="89"/>
      <c r="H253" s="91"/>
      <c r="I253" s="93">
        <f t="shared" si="1"/>
        <v>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81"/>
      <c r="B254" s="83"/>
      <c r="C254" s="85"/>
      <c r="D254" s="83"/>
      <c r="E254" s="85"/>
      <c r="F254" s="87"/>
      <c r="G254" s="89"/>
      <c r="H254" s="91"/>
      <c r="I254" s="93">
        <f t="shared" si="1"/>
        <v>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81"/>
      <c r="B255" s="83"/>
      <c r="C255" s="85"/>
      <c r="D255" s="83"/>
      <c r="E255" s="85"/>
      <c r="F255" s="87"/>
      <c r="G255" s="89"/>
      <c r="H255" s="91"/>
      <c r="I255" s="93">
        <f t="shared" si="1"/>
        <v>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81"/>
      <c r="B256" s="83"/>
      <c r="C256" s="85"/>
      <c r="D256" s="83"/>
      <c r="E256" s="85"/>
      <c r="F256" s="87"/>
      <c r="G256" s="89"/>
      <c r="H256" s="91"/>
      <c r="I256" s="93">
        <f t="shared" si="1"/>
        <v>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81"/>
      <c r="B257" s="83"/>
      <c r="C257" s="85"/>
      <c r="D257" s="83"/>
      <c r="E257" s="85"/>
      <c r="F257" s="87"/>
      <c r="G257" s="89"/>
      <c r="H257" s="91"/>
      <c r="I257" s="93">
        <f t="shared" si="1"/>
        <v>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81"/>
      <c r="B258" s="83"/>
      <c r="C258" s="85"/>
      <c r="D258" s="83"/>
      <c r="E258" s="85"/>
      <c r="F258" s="87"/>
      <c r="G258" s="89"/>
      <c r="H258" s="91"/>
      <c r="I258" s="93">
        <f t="shared" si="1"/>
        <v>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81"/>
      <c r="B259" s="83"/>
      <c r="C259" s="85"/>
      <c r="D259" s="83"/>
      <c r="E259" s="85"/>
      <c r="F259" s="87"/>
      <c r="G259" s="89"/>
      <c r="H259" s="91"/>
      <c r="I259" s="93">
        <f t="shared" si="1"/>
        <v>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81"/>
      <c r="B260" s="83"/>
      <c r="C260" s="85"/>
      <c r="D260" s="83"/>
      <c r="E260" s="85"/>
      <c r="F260" s="87"/>
      <c r="G260" s="89"/>
      <c r="H260" s="91"/>
      <c r="I260" s="93">
        <f t="shared" si="1"/>
        <v>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81"/>
      <c r="B261" s="83"/>
      <c r="C261" s="85"/>
      <c r="D261" s="83"/>
      <c r="E261" s="85"/>
      <c r="F261" s="87"/>
      <c r="G261" s="89"/>
      <c r="H261" s="91"/>
      <c r="I261" s="93">
        <f t="shared" si="1"/>
        <v>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81"/>
      <c r="B262" s="83"/>
      <c r="C262" s="85"/>
      <c r="D262" s="83"/>
      <c r="E262" s="85"/>
      <c r="F262" s="87"/>
      <c r="G262" s="89"/>
      <c r="H262" s="91"/>
      <c r="I262" s="93">
        <f t="shared" si="1"/>
        <v>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81"/>
      <c r="B263" s="83"/>
      <c r="C263" s="85"/>
      <c r="D263" s="83"/>
      <c r="E263" s="85"/>
      <c r="F263" s="87"/>
      <c r="G263" s="89"/>
      <c r="H263" s="91"/>
      <c r="I263" s="93">
        <f t="shared" si="1"/>
        <v>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81"/>
      <c r="B264" s="83"/>
      <c r="C264" s="85"/>
      <c r="D264" s="83"/>
      <c r="E264" s="85"/>
      <c r="F264" s="87"/>
      <c r="G264" s="89"/>
      <c r="H264" s="91"/>
      <c r="I264" s="93">
        <f t="shared" si="1"/>
        <v>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81"/>
      <c r="B265" s="83"/>
      <c r="C265" s="85"/>
      <c r="D265" s="83"/>
      <c r="E265" s="85"/>
      <c r="F265" s="87"/>
      <c r="G265" s="89"/>
      <c r="H265" s="91"/>
      <c r="I265" s="93">
        <f t="shared" si="1"/>
        <v>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81"/>
      <c r="B266" s="83"/>
      <c r="C266" s="85"/>
      <c r="D266" s="83"/>
      <c r="E266" s="85"/>
      <c r="F266" s="87"/>
      <c r="G266" s="89"/>
      <c r="H266" s="91"/>
      <c r="I266" s="93">
        <f t="shared" si="1"/>
        <v>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81"/>
      <c r="B267" s="83"/>
      <c r="C267" s="85"/>
      <c r="D267" s="83"/>
      <c r="E267" s="85"/>
      <c r="F267" s="87"/>
      <c r="G267" s="89"/>
      <c r="H267" s="91"/>
      <c r="I267" s="93">
        <f t="shared" si="1"/>
        <v>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81"/>
      <c r="B268" s="83"/>
      <c r="C268" s="85"/>
      <c r="D268" s="83"/>
      <c r="E268" s="85"/>
      <c r="F268" s="87"/>
      <c r="G268" s="89"/>
      <c r="H268" s="91"/>
      <c r="I268" s="93">
        <f t="shared" si="1"/>
        <v>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81"/>
      <c r="B269" s="83"/>
      <c r="C269" s="85"/>
      <c r="D269" s="83"/>
      <c r="E269" s="85"/>
      <c r="F269" s="87"/>
      <c r="G269" s="89"/>
      <c r="H269" s="91"/>
      <c r="I269" s="93">
        <f t="shared" si="1"/>
        <v>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81"/>
      <c r="B270" s="83"/>
      <c r="C270" s="85"/>
      <c r="D270" s="83"/>
      <c r="E270" s="85"/>
      <c r="F270" s="87"/>
      <c r="G270" s="89"/>
      <c r="H270" s="91"/>
      <c r="I270" s="93">
        <f t="shared" si="1"/>
        <v>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81"/>
      <c r="B271" s="83"/>
      <c r="C271" s="85"/>
      <c r="D271" s="83"/>
      <c r="E271" s="85"/>
      <c r="F271" s="87"/>
      <c r="G271" s="89"/>
      <c r="H271" s="91"/>
      <c r="I271" s="93">
        <f t="shared" si="1"/>
        <v>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81"/>
      <c r="B272" s="83"/>
      <c r="C272" s="85"/>
      <c r="D272" s="83"/>
      <c r="E272" s="85"/>
      <c r="F272" s="87"/>
      <c r="G272" s="89"/>
      <c r="H272" s="91"/>
      <c r="I272" s="93">
        <f t="shared" si="1"/>
        <v>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81"/>
      <c r="B273" s="83"/>
      <c r="C273" s="85"/>
      <c r="D273" s="83"/>
      <c r="E273" s="85"/>
      <c r="F273" s="87"/>
      <c r="G273" s="89"/>
      <c r="H273" s="91"/>
      <c r="I273" s="93">
        <f t="shared" si="1"/>
        <v>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81"/>
      <c r="B274" s="83"/>
      <c r="C274" s="85"/>
      <c r="D274" s="83"/>
      <c r="E274" s="85"/>
      <c r="F274" s="87"/>
      <c r="G274" s="89"/>
      <c r="H274" s="91"/>
      <c r="I274" s="93">
        <f t="shared" si="1"/>
        <v>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81"/>
      <c r="B275" s="83"/>
      <c r="C275" s="85"/>
      <c r="D275" s="83"/>
      <c r="E275" s="85"/>
      <c r="F275" s="87"/>
      <c r="G275" s="89"/>
      <c r="H275" s="91"/>
      <c r="I275" s="93">
        <f t="shared" si="1"/>
        <v>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81"/>
      <c r="B276" s="83"/>
      <c r="C276" s="85"/>
      <c r="D276" s="83"/>
      <c r="E276" s="85"/>
      <c r="F276" s="87"/>
      <c r="G276" s="89"/>
      <c r="H276" s="91"/>
      <c r="I276" s="93">
        <f t="shared" si="1"/>
        <v>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81"/>
      <c r="B277" s="83"/>
      <c r="C277" s="85"/>
      <c r="D277" s="83"/>
      <c r="E277" s="85"/>
      <c r="F277" s="87"/>
      <c r="G277" s="89"/>
      <c r="H277" s="91"/>
      <c r="I277" s="93">
        <f t="shared" si="1"/>
        <v>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81"/>
      <c r="B278" s="83"/>
      <c r="C278" s="85"/>
      <c r="D278" s="83"/>
      <c r="E278" s="85"/>
      <c r="F278" s="87"/>
      <c r="G278" s="89"/>
      <c r="H278" s="91"/>
      <c r="I278" s="93">
        <f t="shared" si="1"/>
        <v>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81"/>
      <c r="B279" s="83"/>
      <c r="C279" s="85"/>
      <c r="D279" s="83"/>
      <c r="E279" s="85"/>
      <c r="F279" s="87"/>
      <c r="G279" s="89"/>
      <c r="H279" s="91"/>
      <c r="I279" s="93">
        <f t="shared" si="1"/>
        <v>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81"/>
      <c r="B280" s="83"/>
      <c r="C280" s="85"/>
      <c r="D280" s="83"/>
      <c r="E280" s="85"/>
      <c r="F280" s="87"/>
      <c r="G280" s="89"/>
      <c r="H280" s="91"/>
      <c r="I280" s="93">
        <f t="shared" si="1"/>
        <v>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81"/>
      <c r="B281" s="83"/>
      <c r="C281" s="85"/>
      <c r="D281" s="83"/>
      <c r="E281" s="85"/>
      <c r="F281" s="87"/>
      <c r="G281" s="89"/>
      <c r="H281" s="91"/>
      <c r="I281" s="93">
        <f t="shared" si="1"/>
        <v>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81"/>
      <c r="B282" s="83"/>
      <c r="C282" s="85"/>
      <c r="D282" s="83"/>
      <c r="E282" s="85"/>
      <c r="F282" s="87"/>
      <c r="G282" s="89"/>
      <c r="H282" s="91"/>
      <c r="I282" s="93">
        <f t="shared" si="1"/>
        <v>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81"/>
      <c r="B283" s="83"/>
      <c r="C283" s="85"/>
      <c r="D283" s="83"/>
      <c r="E283" s="85"/>
      <c r="F283" s="87"/>
      <c r="G283" s="89"/>
      <c r="H283" s="91"/>
      <c r="I283" s="93">
        <f t="shared" si="1"/>
        <v>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81"/>
      <c r="B284" s="83"/>
      <c r="C284" s="85"/>
      <c r="D284" s="83"/>
      <c r="E284" s="85"/>
      <c r="F284" s="87"/>
      <c r="G284" s="89"/>
      <c r="H284" s="91"/>
      <c r="I284" s="93">
        <f t="shared" si="1"/>
        <v>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81"/>
      <c r="B285" s="83"/>
      <c r="C285" s="85"/>
      <c r="D285" s="83"/>
      <c r="E285" s="85"/>
      <c r="F285" s="87"/>
      <c r="G285" s="89"/>
      <c r="H285" s="91"/>
      <c r="I285" s="93">
        <f t="shared" si="1"/>
        <v>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81"/>
      <c r="B286" s="83"/>
      <c r="C286" s="85"/>
      <c r="D286" s="83"/>
      <c r="E286" s="85"/>
      <c r="F286" s="87"/>
      <c r="G286" s="89"/>
      <c r="H286" s="91"/>
      <c r="I286" s="93">
        <f t="shared" si="1"/>
        <v>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81"/>
      <c r="B287" s="83"/>
      <c r="C287" s="85"/>
      <c r="D287" s="83"/>
      <c r="E287" s="85"/>
      <c r="F287" s="87"/>
      <c r="G287" s="89"/>
      <c r="H287" s="91"/>
      <c r="I287" s="93">
        <f t="shared" si="1"/>
        <v>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81"/>
      <c r="B288" s="83"/>
      <c r="C288" s="85"/>
      <c r="D288" s="83"/>
      <c r="E288" s="85"/>
      <c r="F288" s="87"/>
      <c r="G288" s="89"/>
      <c r="H288" s="91"/>
      <c r="I288" s="93">
        <f t="shared" si="1"/>
        <v>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81"/>
      <c r="B289" s="83"/>
      <c r="C289" s="85"/>
      <c r="D289" s="83"/>
      <c r="E289" s="85"/>
      <c r="F289" s="87"/>
      <c r="G289" s="89"/>
      <c r="H289" s="91"/>
      <c r="I289" s="93">
        <f t="shared" si="1"/>
        <v>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81"/>
      <c r="B290" s="83"/>
      <c r="C290" s="85"/>
      <c r="D290" s="83"/>
      <c r="E290" s="85"/>
      <c r="F290" s="87"/>
      <c r="G290" s="89"/>
      <c r="H290" s="91"/>
      <c r="I290" s="93">
        <f t="shared" si="1"/>
        <v>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81"/>
      <c r="B291" s="83"/>
      <c r="C291" s="85"/>
      <c r="D291" s="83"/>
      <c r="E291" s="85"/>
      <c r="F291" s="87"/>
      <c r="G291" s="89"/>
      <c r="H291" s="91"/>
      <c r="I291" s="93">
        <f t="shared" si="1"/>
        <v>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81"/>
      <c r="B292" s="83"/>
      <c r="C292" s="85"/>
      <c r="D292" s="83"/>
      <c r="E292" s="85"/>
      <c r="F292" s="87"/>
      <c r="G292" s="89"/>
      <c r="H292" s="91"/>
      <c r="I292" s="93">
        <f t="shared" si="1"/>
        <v>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81"/>
      <c r="B293" s="83"/>
      <c r="C293" s="85"/>
      <c r="D293" s="83"/>
      <c r="E293" s="85"/>
      <c r="F293" s="87"/>
      <c r="G293" s="89"/>
      <c r="H293" s="91"/>
      <c r="I293" s="93">
        <f t="shared" si="1"/>
        <v>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81"/>
      <c r="B294" s="83"/>
      <c r="C294" s="85"/>
      <c r="D294" s="83"/>
      <c r="E294" s="85"/>
      <c r="F294" s="87"/>
      <c r="G294" s="89"/>
      <c r="H294" s="91"/>
      <c r="I294" s="93">
        <f t="shared" si="1"/>
        <v>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81"/>
      <c r="B295" s="83"/>
      <c r="C295" s="85"/>
      <c r="D295" s="83"/>
      <c r="E295" s="85"/>
      <c r="F295" s="87"/>
      <c r="G295" s="89"/>
      <c r="H295" s="91"/>
      <c r="I295" s="93">
        <f t="shared" si="1"/>
        <v>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81"/>
      <c r="B296" s="83"/>
      <c r="C296" s="85"/>
      <c r="D296" s="83"/>
      <c r="E296" s="85"/>
      <c r="F296" s="87"/>
      <c r="G296" s="89"/>
      <c r="H296" s="91"/>
      <c r="I296" s="93">
        <f t="shared" si="1"/>
        <v>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81"/>
      <c r="B297" s="83"/>
      <c r="C297" s="85"/>
      <c r="D297" s="83"/>
      <c r="E297" s="85"/>
      <c r="F297" s="87"/>
      <c r="G297" s="89"/>
      <c r="H297" s="91"/>
      <c r="I297" s="93">
        <f t="shared" si="1"/>
        <v>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81"/>
      <c r="B298" s="83"/>
      <c r="C298" s="85"/>
      <c r="D298" s="83"/>
      <c r="E298" s="85"/>
      <c r="F298" s="87"/>
      <c r="G298" s="89"/>
      <c r="H298" s="91"/>
      <c r="I298" s="93">
        <f t="shared" si="1"/>
        <v>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121"/>
      <c r="B299" s="161"/>
      <c r="C299" s="141"/>
      <c r="D299" s="161"/>
      <c r="E299" s="141"/>
      <c r="F299" s="84"/>
      <c r="G299" s="162"/>
      <c r="H299" s="163"/>
      <c r="I299" s="164">
        <f t="shared" si="1"/>
        <v>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165"/>
      <c r="B300" s="61"/>
      <c r="C300" s="63"/>
      <c r="D300" s="61"/>
      <c r="E300" s="63"/>
      <c r="F300" s="65" t="s">
        <v>21</v>
      </c>
      <c r="G300" s="166">
        <f>SUM(G14:G299)</f>
        <v>0</v>
      </c>
      <c r="H300" s="167"/>
      <c r="I300" s="168">
        <f>SUM(I14:I299)</f>
        <v>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9" t="s">
        <v>47</v>
      </c>
      <c r="B303" s="4"/>
      <c r="C303" s="4"/>
      <c r="D303" s="4"/>
      <c r="E303" s="4"/>
      <c r="F303" s="4"/>
      <c r="G303" s="4"/>
      <c r="H303" s="95"/>
      <c r="I303" s="9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126"/>
      <c r="B304" s="63"/>
      <c r="C304" s="67" t="s">
        <v>59</v>
      </c>
      <c r="D304" s="69" t="s">
        <v>29</v>
      </c>
      <c r="E304" s="4"/>
      <c r="F304" s="4"/>
      <c r="G304" s="4"/>
      <c r="H304" s="169"/>
      <c r="I304" s="17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27" t="s">
        <v>60</v>
      </c>
      <c r="B305" s="128"/>
      <c r="C305" s="130"/>
      <c r="D305" s="131">
        <f>I300</f>
        <v>0</v>
      </c>
      <c r="E305" s="4"/>
      <c r="F305" s="4"/>
      <c r="G305" s="4"/>
      <c r="H305" s="171"/>
      <c r="I305" s="17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32"/>
      <c r="B306" s="85"/>
      <c r="C306" s="136"/>
      <c r="D306" s="137"/>
      <c r="E306" s="4"/>
      <c r="F306" s="4"/>
      <c r="G306" s="4"/>
      <c r="H306" s="171"/>
      <c r="I306" s="17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73"/>
      <c r="B307" s="174"/>
      <c r="C307" s="136"/>
      <c r="D307" s="13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32"/>
      <c r="B308" s="85"/>
      <c r="C308" s="175"/>
      <c r="D308" s="13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140" t="s">
        <v>61</v>
      </c>
      <c r="B309" s="141"/>
      <c r="C309" s="88"/>
      <c r="D309" s="142">
        <f>SUM(D305:D308)</f>
        <v>0</v>
      </c>
      <c r="E309" s="9"/>
      <c r="F309" s="4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9"/>
      <c r="B312" s="4"/>
      <c r="C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9"/>
      <c r="B313" s="4"/>
      <c r="C313" s="4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9" t="s">
        <v>62</v>
      </c>
      <c r="B314" s="157"/>
      <c r="C314" s="157"/>
      <c r="D314" s="157"/>
      <c r="E314" s="157"/>
      <c r="F314" s="157"/>
      <c r="G314" s="15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15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157"/>
      <c r="B317" s="157"/>
      <c r="C317" s="157"/>
      <c r="D317" s="157"/>
      <c r="E317" s="157"/>
      <c r="F317" s="157"/>
      <c r="G317" s="15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157"/>
      <c r="B318" s="157"/>
      <c r="C318" s="157"/>
      <c r="D318" s="157"/>
      <c r="E318" s="157"/>
      <c r="F318" s="157"/>
      <c r="G318" s="15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9" t="s">
        <v>63</v>
      </c>
      <c r="B319" s="157"/>
      <c r="C319" s="157"/>
      <c r="D319" s="157"/>
      <c r="E319" s="157"/>
      <c r="F319" s="157"/>
      <c r="G319" s="15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15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157"/>
      <c r="B322" s="157"/>
      <c r="C322" s="157"/>
      <c r="D322" s="157"/>
      <c r="E322" s="157"/>
      <c r="F322" s="157"/>
      <c r="G322" s="15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9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9" t="s">
        <v>58</v>
      </c>
      <c r="B324" s="157"/>
      <c r="C324" s="157"/>
      <c r="D324" s="157"/>
      <c r="E324" s="157"/>
      <c r="F324" s="157"/>
      <c r="G324" s="15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15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92">
    <mergeCell ref="B276:C276"/>
    <mergeCell ref="D276:E276"/>
    <mergeCell ref="B275:C275"/>
    <mergeCell ref="D275:E275"/>
    <mergeCell ref="B278:C278"/>
    <mergeCell ref="B279:C279"/>
    <mergeCell ref="B282:C282"/>
    <mergeCell ref="D282:E282"/>
    <mergeCell ref="D279:E279"/>
    <mergeCell ref="B273:C273"/>
    <mergeCell ref="D278:E278"/>
    <mergeCell ref="D273:E273"/>
    <mergeCell ref="A308:B308"/>
    <mergeCell ref="A309:B309"/>
    <mergeCell ref="B300:C300"/>
    <mergeCell ref="A306:B306"/>
    <mergeCell ref="A305:B305"/>
    <mergeCell ref="A325:G328"/>
    <mergeCell ref="A320:G321"/>
    <mergeCell ref="A304:B304"/>
    <mergeCell ref="A315:G316"/>
    <mergeCell ref="C312:E312"/>
    <mergeCell ref="B280:C280"/>
    <mergeCell ref="D280:E280"/>
    <mergeCell ref="B281:C281"/>
    <mergeCell ref="D281:E281"/>
    <mergeCell ref="B283:C283"/>
    <mergeCell ref="D283:E283"/>
    <mergeCell ref="B277:C277"/>
    <mergeCell ref="D277:E277"/>
    <mergeCell ref="B274:C274"/>
    <mergeCell ref="D274:E274"/>
    <mergeCell ref="B272:C272"/>
    <mergeCell ref="D272:E272"/>
    <mergeCell ref="B270:C270"/>
    <mergeCell ref="B271:C271"/>
    <mergeCell ref="D271:E271"/>
    <mergeCell ref="B294:C294"/>
    <mergeCell ref="B295:C295"/>
    <mergeCell ref="B292:C292"/>
    <mergeCell ref="D292:E292"/>
    <mergeCell ref="B288:C288"/>
    <mergeCell ref="D288:E288"/>
    <mergeCell ref="B289:C289"/>
    <mergeCell ref="D289:E289"/>
    <mergeCell ref="D246:E246"/>
    <mergeCell ref="D248:E248"/>
    <mergeCell ref="D191:E191"/>
    <mergeCell ref="D192:E192"/>
    <mergeCell ref="D188:E188"/>
    <mergeCell ref="D202:E202"/>
    <mergeCell ref="D199:E199"/>
    <mergeCell ref="D198:E198"/>
    <mergeCell ref="D196:E196"/>
    <mergeCell ref="D197:E197"/>
    <mergeCell ref="D201:E201"/>
    <mergeCell ref="D200:E200"/>
    <mergeCell ref="D255:E255"/>
    <mergeCell ref="D256:E256"/>
    <mergeCell ref="D257:E257"/>
    <mergeCell ref="D258:E258"/>
    <mergeCell ref="D251:E251"/>
    <mergeCell ref="D249:E249"/>
    <mergeCell ref="D250:E250"/>
    <mergeCell ref="D252:E252"/>
    <mergeCell ref="D253:E253"/>
    <mergeCell ref="D205:E205"/>
    <mergeCell ref="D203:E203"/>
    <mergeCell ref="D204:E204"/>
    <mergeCell ref="D206:E206"/>
    <mergeCell ref="D207:E207"/>
    <mergeCell ref="D245:E245"/>
    <mergeCell ref="D261:E261"/>
    <mergeCell ref="D254:E254"/>
    <mergeCell ref="D270:E270"/>
    <mergeCell ref="D269:E269"/>
    <mergeCell ref="D243:E243"/>
    <mergeCell ref="D244:E244"/>
    <mergeCell ref="D266:E266"/>
    <mergeCell ref="D265:E265"/>
    <mergeCell ref="D264:E264"/>
    <mergeCell ref="D262:E262"/>
    <mergeCell ref="D263:E263"/>
    <mergeCell ref="D259:E259"/>
    <mergeCell ref="D260:E260"/>
    <mergeCell ref="D268:E268"/>
    <mergeCell ref="D267:E267"/>
    <mergeCell ref="D214:E214"/>
    <mergeCell ref="D215:E215"/>
    <mergeCell ref="B221:C221"/>
    <mergeCell ref="B216:C216"/>
    <mergeCell ref="B206:C206"/>
    <mergeCell ref="B205:C205"/>
    <mergeCell ref="B203:C203"/>
    <mergeCell ref="B204:C204"/>
    <mergeCell ref="B263:C263"/>
    <mergeCell ref="B255:C255"/>
    <mergeCell ref="B256:C256"/>
    <mergeCell ref="B257:C257"/>
    <mergeCell ref="B258:C258"/>
    <mergeCell ref="B247:C247"/>
    <mergeCell ref="B251:C251"/>
    <mergeCell ref="B252:C252"/>
    <mergeCell ref="B253:C253"/>
    <mergeCell ref="B188:C188"/>
    <mergeCell ref="B222:C222"/>
    <mergeCell ref="B266:C266"/>
    <mergeCell ref="B269:C269"/>
    <mergeCell ref="B210:C210"/>
    <mergeCell ref="B211:C211"/>
    <mergeCell ref="B202:C202"/>
    <mergeCell ref="B254:C254"/>
    <mergeCell ref="B296:C296"/>
    <mergeCell ref="D296:E296"/>
    <mergeCell ref="B297:C297"/>
    <mergeCell ref="D297:E297"/>
    <mergeCell ref="B284:C284"/>
    <mergeCell ref="B285:C285"/>
    <mergeCell ref="B299:C299"/>
    <mergeCell ref="D299:E299"/>
    <mergeCell ref="D300:E300"/>
    <mergeCell ref="B298:C298"/>
    <mergeCell ref="D298:E298"/>
    <mergeCell ref="B286:C286"/>
    <mergeCell ref="D286:E286"/>
    <mergeCell ref="B291:C291"/>
    <mergeCell ref="D291:E291"/>
    <mergeCell ref="B293:C293"/>
    <mergeCell ref="D293:E293"/>
    <mergeCell ref="D294:E294"/>
    <mergeCell ref="D295:E295"/>
    <mergeCell ref="B287:C287"/>
    <mergeCell ref="D287:E287"/>
    <mergeCell ref="D284:E284"/>
    <mergeCell ref="D285:E285"/>
    <mergeCell ref="B290:C290"/>
    <mergeCell ref="D290:E290"/>
    <mergeCell ref="D211:E211"/>
    <mergeCell ref="D212:E212"/>
    <mergeCell ref="B212:C212"/>
    <mergeCell ref="B213:C213"/>
    <mergeCell ref="D209:E209"/>
    <mergeCell ref="D210:E210"/>
    <mergeCell ref="D208:E208"/>
    <mergeCell ref="D216:E216"/>
    <mergeCell ref="D213:E213"/>
    <mergeCell ref="D220:E220"/>
    <mergeCell ref="D226:E226"/>
    <mergeCell ref="D223:E223"/>
    <mergeCell ref="D224:E224"/>
    <mergeCell ref="D225:E225"/>
    <mergeCell ref="D221:E221"/>
    <mergeCell ref="D222:E222"/>
    <mergeCell ref="D238:E238"/>
    <mergeCell ref="D233:E233"/>
    <mergeCell ref="D234:E234"/>
    <mergeCell ref="D235:E235"/>
    <mergeCell ref="D236:E236"/>
    <mergeCell ref="D237:E237"/>
    <mergeCell ref="D232:E232"/>
    <mergeCell ref="D230:E230"/>
    <mergeCell ref="D231:E231"/>
    <mergeCell ref="D228:E228"/>
    <mergeCell ref="D229:E229"/>
    <mergeCell ref="D217:E217"/>
    <mergeCell ref="B217:C217"/>
    <mergeCell ref="D218:E218"/>
    <mergeCell ref="D219:E219"/>
    <mergeCell ref="D241:E241"/>
    <mergeCell ref="D242:E242"/>
    <mergeCell ref="D227:E227"/>
    <mergeCell ref="B245:C245"/>
    <mergeCell ref="B244:C244"/>
    <mergeCell ref="B242:C242"/>
    <mergeCell ref="B243:C243"/>
    <mergeCell ref="B241:C241"/>
    <mergeCell ref="B246:C246"/>
    <mergeCell ref="B248:C248"/>
    <mergeCell ref="B249:C249"/>
    <mergeCell ref="B250:C250"/>
    <mergeCell ref="B238:C238"/>
    <mergeCell ref="B233:C233"/>
    <mergeCell ref="B234:C234"/>
    <mergeCell ref="B235:C235"/>
    <mergeCell ref="B236:C236"/>
    <mergeCell ref="B237:C237"/>
    <mergeCell ref="B231:C231"/>
    <mergeCell ref="B232:C232"/>
    <mergeCell ref="B228:C228"/>
    <mergeCell ref="B229:C229"/>
    <mergeCell ref="B230:C230"/>
    <mergeCell ref="B239:C239"/>
    <mergeCell ref="B240:C240"/>
    <mergeCell ref="B264:C264"/>
    <mergeCell ref="B265:C265"/>
    <mergeCell ref="B260:C260"/>
    <mergeCell ref="B261:C261"/>
    <mergeCell ref="B262:C262"/>
    <mergeCell ref="B259:C259"/>
    <mergeCell ref="B220:C220"/>
    <mergeCell ref="B224:C224"/>
    <mergeCell ref="B223:C223"/>
    <mergeCell ref="B225:C225"/>
    <mergeCell ref="B226:C226"/>
    <mergeCell ref="B227:C227"/>
    <mergeCell ref="B207:C207"/>
    <mergeCell ref="B209:C209"/>
    <mergeCell ref="B208:C208"/>
    <mergeCell ref="B214:C214"/>
    <mergeCell ref="B215:C215"/>
    <mergeCell ref="B218:C218"/>
    <mergeCell ref="B219:C219"/>
    <mergeCell ref="B179:C179"/>
    <mergeCell ref="B180:C180"/>
    <mergeCell ref="B185:C185"/>
    <mergeCell ref="B186:C186"/>
    <mergeCell ref="B183:C183"/>
    <mergeCell ref="B184:C184"/>
    <mergeCell ref="B181:C181"/>
    <mergeCell ref="B182:C182"/>
    <mergeCell ref="B172:C172"/>
    <mergeCell ref="B171:C171"/>
    <mergeCell ref="B175:C175"/>
    <mergeCell ref="B176:C176"/>
    <mergeCell ref="B174:C174"/>
    <mergeCell ref="B187:C187"/>
    <mergeCell ref="B178:C178"/>
    <mergeCell ref="B177:C177"/>
    <mergeCell ref="B193:C193"/>
    <mergeCell ref="B194:C194"/>
    <mergeCell ref="D193:E193"/>
    <mergeCell ref="D187:E187"/>
    <mergeCell ref="D185:E185"/>
    <mergeCell ref="D186:E186"/>
    <mergeCell ref="D195:E195"/>
    <mergeCell ref="D194:E194"/>
    <mergeCell ref="B200:C200"/>
    <mergeCell ref="B201:C201"/>
    <mergeCell ref="B198:C198"/>
    <mergeCell ref="B199:C199"/>
    <mergeCell ref="B197:C197"/>
    <mergeCell ref="D167:E167"/>
    <mergeCell ref="B168:C168"/>
    <mergeCell ref="D168:E168"/>
    <mergeCell ref="B173:C173"/>
    <mergeCell ref="B160:C160"/>
    <mergeCell ref="B161:C161"/>
    <mergeCell ref="D161:E161"/>
    <mergeCell ref="D162:E162"/>
    <mergeCell ref="B159:C159"/>
    <mergeCell ref="B164:C164"/>
    <mergeCell ref="D159:E159"/>
    <mergeCell ref="D160:E160"/>
    <mergeCell ref="B169:C169"/>
    <mergeCell ref="D169:E169"/>
    <mergeCell ref="D173:E173"/>
    <mergeCell ref="D174:E174"/>
    <mergeCell ref="D178:E178"/>
    <mergeCell ref="D175:E175"/>
    <mergeCell ref="D176:E176"/>
    <mergeCell ref="B162:C162"/>
    <mergeCell ref="B163:C163"/>
    <mergeCell ref="B165:C165"/>
    <mergeCell ref="B167:C167"/>
    <mergeCell ref="B166:C166"/>
    <mergeCell ref="D165:E165"/>
    <mergeCell ref="D166:E166"/>
    <mergeCell ref="D163:E163"/>
    <mergeCell ref="D164:E164"/>
    <mergeCell ref="B36:C36"/>
    <mergeCell ref="B37:C37"/>
    <mergeCell ref="D53:E53"/>
    <mergeCell ref="B53:C53"/>
    <mergeCell ref="B21:C21"/>
    <mergeCell ref="B22:C22"/>
    <mergeCell ref="B23:C23"/>
    <mergeCell ref="D19:E19"/>
    <mergeCell ref="D20:E20"/>
    <mergeCell ref="B19:C19"/>
    <mergeCell ref="B20:C20"/>
    <mergeCell ref="B29:C29"/>
    <mergeCell ref="B28:C28"/>
    <mergeCell ref="D26:E26"/>
    <mergeCell ref="D27:E27"/>
    <mergeCell ref="D28:E28"/>
    <mergeCell ref="D29:E29"/>
    <mergeCell ref="D24:E24"/>
    <mergeCell ref="D25:E25"/>
    <mergeCell ref="D36:E36"/>
    <mergeCell ref="D37:E37"/>
    <mergeCell ref="B43:C43"/>
    <mergeCell ref="B44:C44"/>
    <mergeCell ref="B49:C49"/>
    <mergeCell ref="B50:C50"/>
    <mergeCell ref="D49:E49"/>
    <mergeCell ref="D50:E50"/>
    <mergeCell ref="B38:C38"/>
    <mergeCell ref="B39:C39"/>
    <mergeCell ref="B40:C40"/>
    <mergeCell ref="D39:E39"/>
    <mergeCell ref="D34:E34"/>
    <mergeCell ref="D32:E32"/>
    <mergeCell ref="D33:E33"/>
    <mergeCell ref="D35:E35"/>
    <mergeCell ref="B35:C35"/>
    <mergeCell ref="D38:E38"/>
    <mergeCell ref="D51:E51"/>
    <mergeCell ref="D52:E52"/>
    <mergeCell ref="D40:E40"/>
    <mergeCell ref="D41:E41"/>
    <mergeCell ref="D42:E42"/>
    <mergeCell ref="B41:C41"/>
    <mergeCell ref="B42:C42"/>
    <mergeCell ref="B57:C57"/>
    <mergeCell ref="B58:C58"/>
    <mergeCell ref="D59:E59"/>
    <mergeCell ref="D57:E57"/>
    <mergeCell ref="D58:E58"/>
    <mergeCell ref="B51:C51"/>
    <mergeCell ref="B52:C52"/>
    <mergeCell ref="D54:E54"/>
    <mergeCell ref="B56:C56"/>
    <mergeCell ref="B59:C59"/>
    <mergeCell ref="D43:E43"/>
    <mergeCell ref="D44:E44"/>
    <mergeCell ref="B45:C45"/>
    <mergeCell ref="B46:C46"/>
    <mergeCell ref="D46:E46"/>
    <mergeCell ref="D45:E45"/>
    <mergeCell ref="B54:C54"/>
    <mergeCell ref="B55:C55"/>
    <mergeCell ref="D56:E56"/>
    <mergeCell ref="D55:E55"/>
    <mergeCell ref="B47:C47"/>
    <mergeCell ref="B48:C48"/>
    <mergeCell ref="D47:E47"/>
    <mergeCell ref="D48:E48"/>
    <mergeCell ref="C7:M7"/>
    <mergeCell ref="A5:B5"/>
    <mergeCell ref="C5:D5"/>
    <mergeCell ref="B32:C32"/>
    <mergeCell ref="B31:C31"/>
    <mergeCell ref="A1:T2"/>
    <mergeCell ref="D30:E30"/>
    <mergeCell ref="D31:E31"/>
    <mergeCell ref="D13:E13"/>
    <mergeCell ref="A12:B12"/>
    <mergeCell ref="B33:C33"/>
    <mergeCell ref="B34:C34"/>
    <mergeCell ref="B30:C30"/>
    <mergeCell ref="B25:C25"/>
    <mergeCell ref="B24:C24"/>
    <mergeCell ref="B26:C26"/>
    <mergeCell ref="B27:C27"/>
    <mergeCell ref="D18:E18"/>
    <mergeCell ref="D14:E14"/>
    <mergeCell ref="D17:E17"/>
    <mergeCell ref="D15:E15"/>
    <mergeCell ref="D16:E16"/>
    <mergeCell ref="D21:E21"/>
    <mergeCell ref="D23:E23"/>
    <mergeCell ref="D22:E22"/>
    <mergeCell ref="B14:C14"/>
    <mergeCell ref="B13:C13"/>
    <mergeCell ref="A10:B10"/>
    <mergeCell ref="C8:D8"/>
    <mergeCell ref="B16:C16"/>
    <mergeCell ref="B15:C15"/>
    <mergeCell ref="B17:C17"/>
    <mergeCell ref="B18:C18"/>
    <mergeCell ref="B84:C84"/>
    <mergeCell ref="B85:C85"/>
    <mergeCell ref="B92:C92"/>
    <mergeCell ref="B88:C88"/>
    <mergeCell ref="B89:C89"/>
    <mergeCell ref="B90:C90"/>
    <mergeCell ref="B91:C91"/>
    <mergeCell ref="B86:C86"/>
    <mergeCell ref="B87:C87"/>
    <mergeCell ref="D70:E70"/>
    <mergeCell ref="D71:E71"/>
    <mergeCell ref="D78:E78"/>
    <mergeCell ref="D76:E76"/>
    <mergeCell ref="D77:E77"/>
    <mergeCell ref="D74:E74"/>
    <mergeCell ref="D75:E75"/>
    <mergeCell ref="D72:E72"/>
    <mergeCell ref="D73:E73"/>
    <mergeCell ref="D82:E82"/>
    <mergeCell ref="D83:E83"/>
    <mergeCell ref="D88:E88"/>
    <mergeCell ref="D89:E89"/>
    <mergeCell ref="D90:E90"/>
    <mergeCell ref="D91:E91"/>
    <mergeCell ref="D81:E81"/>
    <mergeCell ref="D80:E80"/>
    <mergeCell ref="D79:E79"/>
    <mergeCell ref="D92:E92"/>
    <mergeCell ref="B76:C76"/>
    <mergeCell ref="B74:C74"/>
    <mergeCell ref="B82:C82"/>
    <mergeCell ref="B83:C83"/>
    <mergeCell ref="B80:C80"/>
    <mergeCell ref="B81:C81"/>
    <mergeCell ref="B79:C79"/>
    <mergeCell ref="B78:C78"/>
    <mergeCell ref="B77:C77"/>
    <mergeCell ref="D122:E122"/>
    <mergeCell ref="D120:E120"/>
    <mergeCell ref="D121:E121"/>
    <mergeCell ref="D111:E111"/>
    <mergeCell ref="D110:E110"/>
    <mergeCell ref="D109:E109"/>
    <mergeCell ref="D107:E107"/>
    <mergeCell ref="D104:E104"/>
    <mergeCell ref="D105:E105"/>
    <mergeCell ref="D102:E102"/>
    <mergeCell ref="D103:E103"/>
    <mergeCell ref="B102:C102"/>
    <mergeCell ref="B103:C103"/>
    <mergeCell ref="D126:E126"/>
    <mergeCell ref="D127:E127"/>
    <mergeCell ref="D124:E124"/>
    <mergeCell ref="D125:E125"/>
    <mergeCell ref="D123:E123"/>
    <mergeCell ref="D181:E181"/>
    <mergeCell ref="D179:E179"/>
    <mergeCell ref="D180:E180"/>
    <mergeCell ref="B268:C268"/>
    <mergeCell ref="B267:C267"/>
    <mergeCell ref="D239:E239"/>
    <mergeCell ref="D240:E240"/>
    <mergeCell ref="D247:E247"/>
    <mergeCell ref="D170:E170"/>
    <mergeCell ref="B170:C170"/>
    <mergeCell ref="B195:C195"/>
    <mergeCell ref="B196:C196"/>
    <mergeCell ref="B191:C191"/>
    <mergeCell ref="B192:C192"/>
    <mergeCell ref="B189:C189"/>
    <mergeCell ref="B190:C190"/>
    <mergeCell ref="D62:E62"/>
    <mergeCell ref="D63:E63"/>
    <mergeCell ref="D66:E66"/>
    <mergeCell ref="D64:E64"/>
    <mergeCell ref="D65:E65"/>
    <mergeCell ref="D60:E60"/>
    <mergeCell ref="D61:E61"/>
    <mergeCell ref="D96:E96"/>
    <mergeCell ref="D95:E95"/>
    <mergeCell ref="D94:E94"/>
    <mergeCell ref="D93:E93"/>
    <mergeCell ref="D118:E118"/>
    <mergeCell ref="D119:E119"/>
    <mergeCell ref="D100:E100"/>
    <mergeCell ref="D101:E101"/>
    <mergeCell ref="D98:E98"/>
    <mergeCell ref="D99:E99"/>
    <mergeCell ref="D97:E97"/>
    <mergeCell ref="D112:E112"/>
    <mergeCell ref="D113:E113"/>
    <mergeCell ref="D137:E137"/>
    <mergeCell ref="D116:E116"/>
    <mergeCell ref="D117:E117"/>
    <mergeCell ref="D108:E108"/>
    <mergeCell ref="D106:E106"/>
    <mergeCell ref="D114:E114"/>
    <mergeCell ref="D115:E115"/>
    <mergeCell ref="D172:E172"/>
    <mergeCell ref="D189:E189"/>
    <mergeCell ref="D190:E190"/>
    <mergeCell ref="D183:E183"/>
    <mergeCell ref="D184:E184"/>
    <mergeCell ref="D182:E182"/>
    <mergeCell ref="D177:E177"/>
    <mergeCell ref="D86:E86"/>
    <mergeCell ref="D84:E84"/>
    <mergeCell ref="D85:E85"/>
    <mergeCell ref="D68:E68"/>
    <mergeCell ref="D69:E69"/>
    <mergeCell ref="D67:E67"/>
    <mergeCell ref="D87:E87"/>
    <mergeCell ref="D143:E143"/>
    <mergeCell ref="D150:E150"/>
    <mergeCell ref="D148:E148"/>
    <mergeCell ref="D149:E149"/>
    <mergeCell ref="D146:E146"/>
    <mergeCell ref="D147:E147"/>
    <mergeCell ref="D144:E144"/>
    <mergeCell ref="D145:E145"/>
    <mergeCell ref="D154:E154"/>
    <mergeCell ref="D155:E155"/>
    <mergeCell ref="D152:E152"/>
    <mergeCell ref="D153:E153"/>
    <mergeCell ref="D151:E151"/>
    <mergeCell ref="D156:E156"/>
    <mergeCell ref="D171:E171"/>
    <mergeCell ref="D142:E142"/>
    <mergeCell ref="D140:E140"/>
    <mergeCell ref="D141:E141"/>
    <mergeCell ref="D138:E138"/>
    <mergeCell ref="D139:E139"/>
    <mergeCell ref="D157:E157"/>
    <mergeCell ref="B66:C66"/>
    <mergeCell ref="B67:C67"/>
    <mergeCell ref="B75:C75"/>
    <mergeCell ref="B72:C72"/>
    <mergeCell ref="B73:C73"/>
    <mergeCell ref="B70:C70"/>
    <mergeCell ref="B71:C71"/>
    <mergeCell ref="B68:C68"/>
    <mergeCell ref="B69:C69"/>
    <mergeCell ref="B100:C100"/>
    <mergeCell ref="B98:C98"/>
    <mergeCell ref="B99:C99"/>
    <mergeCell ref="B96:C96"/>
    <mergeCell ref="B97:C97"/>
    <mergeCell ref="B94:C94"/>
    <mergeCell ref="B95:C95"/>
    <mergeCell ref="B65:C65"/>
    <mergeCell ref="B64:C64"/>
    <mergeCell ref="B62:C62"/>
    <mergeCell ref="B63:C63"/>
    <mergeCell ref="B60:C60"/>
    <mergeCell ref="B61:C61"/>
    <mergeCell ref="B101:C101"/>
    <mergeCell ref="B93:C93"/>
    <mergeCell ref="B130:C130"/>
    <mergeCell ref="B131:C131"/>
    <mergeCell ref="B138:C138"/>
    <mergeCell ref="B136:C136"/>
    <mergeCell ref="B137:C137"/>
    <mergeCell ref="B135:C135"/>
    <mergeCell ref="B134:C134"/>
    <mergeCell ref="B132:C132"/>
    <mergeCell ref="B133:C133"/>
    <mergeCell ref="B122:C122"/>
    <mergeCell ref="B121:C121"/>
    <mergeCell ref="B128:C128"/>
    <mergeCell ref="B129:C129"/>
    <mergeCell ref="B126:C126"/>
    <mergeCell ref="B127:C127"/>
    <mergeCell ref="B124:C124"/>
    <mergeCell ref="B125:C125"/>
    <mergeCell ref="B123:C123"/>
    <mergeCell ref="B106:C106"/>
    <mergeCell ref="B104:C104"/>
    <mergeCell ref="B105:C105"/>
    <mergeCell ref="B112:C112"/>
    <mergeCell ref="B113:C113"/>
    <mergeCell ref="B110:C110"/>
    <mergeCell ref="B111:C111"/>
    <mergeCell ref="B108:C108"/>
    <mergeCell ref="B109:C109"/>
    <mergeCell ref="B107:C107"/>
    <mergeCell ref="B120:C120"/>
    <mergeCell ref="B118:C118"/>
    <mergeCell ref="B119:C119"/>
    <mergeCell ref="B116:C116"/>
    <mergeCell ref="B117:C117"/>
    <mergeCell ref="B114:C114"/>
    <mergeCell ref="B115:C115"/>
    <mergeCell ref="B148:C148"/>
    <mergeCell ref="B146:C146"/>
    <mergeCell ref="B147:C147"/>
    <mergeCell ref="B144:C144"/>
    <mergeCell ref="B145:C145"/>
    <mergeCell ref="B142:C142"/>
    <mergeCell ref="B143:C143"/>
    <mergeCell ref="B150:C150"/>
    <mergeCell ref="B149:C149"/>
    <mergeCell ref="B154:C154"/>
    <mergeCell ref="B155:C155"/>
    <mergeCell ref="B152:C152"/>
    <mergeCell ref="B153:C153"/>
    <mergeCell ref="B158:C158"/>
    <mergeCell ref="D158:E158"/>
    <mergeCell ref="B156:C156"/>
    <mergeCell ref="B157:C157"/>
    <mergeCell ref="B140:C140"/>
    <mergeCell ref="B141:C141"/>
    <mergeCell ref="B139:C139"/>
    <mergeCell ref="B151:C151"/>
    <mergeCell ref="D128:E128"/>
    <mergeCell ref="D129:E129"/>
    <mergeCell ref="D136:E136"/>
    <mergeCell ref="D134:E134"/>
    <mergeCell ref="D135:E135"/>
    <mergeCell ref="D132:E132"/>
    <mergeCell ref="D133:E133"/>
    <mergeCell ref="D130:E130"/>
    <mergeCell ref="D131:E1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.14"/>
    <col customWidth="1" min="3" max="3" width="11.0"/>
    <col customWidth="1" min="4" max="4" width="11.71"/>
    <col customWidth="1" min="5" max="5" width="9.71"/>
    <col customWidth="1" min="6" max="6" width="9.14"/>
    <col customWidth="1" min="7" max="7" width="7.86"/>
    <col customWidth="1" min="8" max="8" width="9.29"/>
    <col customWidth="1" min="9" max="9" width="10.14"/>
    <col customWidth="1" min="10" max="16" width="9.14"/>
    <col customWidth="1" min="17" max="26" width="8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</v>
      </c>
      <c r="C4" s="10"/>
      <c r="D4" s="11"/>
      <c r="E4" s="11"/>
      <c r="F4" s="11"/>
      <c r="G4" s="11"/>
      <c r="H4" s="11"/>
      <c r="I4" s="11"/>
      <c r="J4" s="11"/>
      <c r="K4" s="4"/>
      <c r="L4" s="12"/>
      <c r="M4" s="13"/>
      <c r="N4" s="14"/>
      <c r="O4" s="15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</v>
      </c>
      <c r="C5" s="10"/>
      <c r="D5" s="11"/>
      <c r="E5" s="9" t="s">
        <v>3</v>
      </c>
      <c r="F5" s="16"/>
      <c r="G5" s="8"/>
      <c r="H5" s="4"/>
      <c r="I5" s="4"/>
      <c r="J5" s="4"/>
      <c r="K5" s="4"/>
      <c r="L5" s="12"/>
      <c r="M5" s="17"/>
      <c r="N5" s="18"/>
      <c r="O5" s="19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9" t="s">
        <v>4</v>
      </c>
      <c r="C6" s="20"/>
      <c r="D6" s="21"/>
      <c r="E6" s="9" t="s">
        <v>5</v>
      </c>
      <c r="F6" s="23"/>
      <c r="G6" s="11"/>
      <c r="H6" s="9" t="s">
        <v>6</v>
      </c>
      <c r="I6" s="23"/>
      <c r="J6" s="11"/>
      <c r="K6" s="4"/>
      <c r="L6" s="12"/>
      <c r="M6" s="17"/>
      <c r="N6" s="18"/>
      <c r="O6" s="19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9" t="s">
        <v>7</v>
      </c>
      <c r="C7" s="26"/>
      <c r="D7" s="21"/>
      <c r="E7" s="4"/>
      <c r="F7" s="4"/>
      <c r="G7" s="4"/>
      <c r="H7" s="4"/>
      <c r="I7" s="4"/>
      <c r="J7" s="4"/>
      <c r="K7" s="4"/>
      <c r="L7" s="12"/>
      <c r="M7" s="17"/>
      <c r="N7" s="18"/>
      <c r="O7" s="19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9" t="s">
        <v>8</v>
      </c>
      <c r="C8" s="28"/>
      <c r="D8" s="4"/>
      <c r="E8" s="9"/>
      <c r="F8" s="29"/>
      <c r="G8" s="30"/>
      <c r="H8" s="9"/>
      <c r="I8" s="32"/>
      <c r="J8" s="4"/>
      <c r="K8" s="4"/>
      <c r="L8" s="12"/>
      <c r="M8" s="17"/>
      <c r="N8" s="18"/>
      <c r="O8" s="19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9" t="s">
        <v>11</v>
      </c>
      <c r="C9" s="34"/>
      <c r="D9" s="11"/>
      <c r="E9" s="11"/>
      <c r="F9" s="36"/>
      <c r="G9" s="36"/>
      <c r="H9" s="9"/>
      <c r="I9" s="32"/>
      <c r="J9" s="4"/>
      <c r="K9" s="4"/>
      <c r="L9" s="12"/>
      <c r="M9" s="17"/>
      <c r="N9" s="18"/>
      <c r="O9" s="19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9" t="s">
        <v>17</v>
      </c>
      <c r="C10" s="10"/>
      <c r="D10" s="18"/>
      <c r="E10" s="18"/>
      <c r="F10" s="18"/>
      <c r="G10" s="18"/>
      <c r="H10" s="9"/>
      <c r="I10" s="32"/>
      <c r="J10" s="4"/>
      <c r="K10" s="4"/>
      <c r="L10" s="12"/>
      <c r="M10" s="17"/>
      <c r="N10" s="18"/>
      <c r="O10" s="1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9" t="s">
        <v>18</v>
      </c>
      <c r="C11" s="39">
        <f>$J47</f>
        <v>0</v>
      </c>
      <c r="D11" s="4"/>
      <c r="E11" s="41" t="s">
        <v>19</v>
      </c>
      <c r="G11" s="43"/>
      <c r="H11" s="11"/>
      <c r="I11" s="32"/>
      <c r="J11" s="4"/>
      <c r="K11" s="4"/>
      <c r="L11" s="12"/>
      <c r="M11" s="17"/>
      <c r="N11" s="18"/>
      <c r="O11" s="1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8"/>
      <c r="H12" s="4"/>
      <c r="I12" s="4"/>
      <c r="J12" s="4"/>
      <c r="K12" s="4"/>
      <c r="L12" s="12"/>
      <c r="M12" s="45"/>
      <c r="N12" s="47"/>
      <c r="O12" s="4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4"/>
      <c r="C13" s="4"/>
      <c r="D13" s="4"/>
      <c r="E13" s="4"/>
      <c r="F13" s="4"/>
      <c r="G13" s="9"/>
      <c r="H13" s="9"/>
      <c r="I13" s="8"/>
      <c r="J13" s="4"/>
      <c r="K13" s="4"/>
      <c r="L13" s="51"/>
      <c r="M13" s="52" t="s">
        <v>22</v>
      </c>
      <c r="N13" s="5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9"/>
      <c r="B14" s="4"/>
      <c r="C14" s="9"/>
      <c r="D14" s="4"/>
      <c r="E14" s="4"/>
      <c r="F14" s="4"/>
      <c r="G14" s="8"/>
      <c r="H14" s="9"/>
      <c r="I14" s="8"/>
      <c r="J14" s="4"/>
      <c r="K14" s="4"/>
      <c r="L14" s="9"/>
      <c r="M14" s="9" t="s">
        <v>23</v>
      </c>
      <c r="N14" s="4"/>
      <c r="O14" s="9" t="s">
        <v>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9"/>
      <c r="D15" s="4"/>
      <c r="E15" s="4"/>
      <c r="F15" s="4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55" t="s">
        <v>25</v>
      </c>
      <c r="B16" s="56"/>
      <c r="C16" s="58"/>
      <c r="D16" s="60"/>
      <c r="E16" s="60"/>
      <c r="F16" s="60"/>
      <c r="G16" s="62"/>
      <c r="H16" s="60"/>
      <c r="I16" s="60"/>
      <c r="J16" s="60"/>
      <c r="K16" s="4"/>
      <c r="L16" s="64"/>
      <c r="M16" s="6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66" t="s">
        <v>27</v>
      </c>
      <c r="B17" s="65" t="s">
        <v>30</v>
      </c>
      <c r="C17" s="65" t="s">
        <v>31</v>
      </c>
      <c r="D17" s="65" t="s">
        <v>32</v>
      </c>
      <c r="E17" s="67" t="s">
        <v>33</v>
      </c>
      <c r="F17" s="67" t="s">
        <v>34</v>
      </c>
      <c r="G17" s="65" t="s">
        <v>35</v>
      </c>
      <c r="H17" s="67" t="s">
        <v>36</v>
      </c>
      <c r="I17" s="67" t="s">
        <v>37</v>
      </c>
      <c r="J17" s="69" t="s">
        <v>29</v>
      </c>
      <c r="K17" s="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1"/>
      <c r="B18" s="71"/>
      <c r="C18" s="71"/>
      <c r="D18" s="71"/>
      <c r="E18" s="73"/>
      <c r="F18" s="75"/>
      <c r="G18" s="77"/>
      <c r="H18" s="77"/>
      <c r="I18" s="79"/>
      <c r="J18" s="82">
        <f t="shared" ref="J18:J19" si="1">$I18*(IF($G18="Q",$E18,(IF($G18="W",$F18,0))))</f>
        <v>0</v>
      </c>
      <c r="K18" s="9"/>
      <c r="L18" s="4"/>
      <c r="M18" s="4"/>
      <c r="N18" s="4"/>
      <c r="O18" s="4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84"/>
      <c r="B19" s="84"/>
      <c r="C19" s="84"/>
      <c r="D19" s="84"/>
      <c r="E19" s="86"/>
      <c r="F19" s="88"/>
      <c r="G19" s="90"/>
      <c r="H19" s="90"/>
      <c r="I19" s="92"/>
      <c r="J19" s="94">
        <f t="shared" si="1"/>
        <v>0</v>
      </c>
      <c r="K19" s="9"/>
      <c r="L19" s="96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97"/>
      <c r="B20" s="99"/>
      <c r="C20" s="99"/>
      <c r="D20" s="99"/>
      <c r="E20" s="101">
        <f>SUM($E18:$E19)</f>
        <v>0</v>
      </c>
      <c r="F20" s="102">
        <f>SUM($F18:$F19)</f>
        <v>0</v>
      </c>
      <c r="G20" s="102"/>
      <c r="H20" s="102"/>
      <c r="I20" s="105"/>
      <c r="J20" s="106">
        <f>SUM($J18:$J19)</f>
        <v>0</v>
      </c>
      <c r="K20" s="9"/>
      <c r="L20" s="9"/>
      <c r="M20" s="9"/>
      <c r="N20" s="9"/>
      <c r="O20" s="9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7" t="s">
        <v>38</v>
      </c>
      <c r="B22" s="3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66" t="s">
        <v>27</v>
      </c>
      <c r="B23" s="65" t="s">
        <v>30</v>
      </c>
      <c r="C23" s="65" t="s">
        <v>31</v>
      </c>
      <c r="D23" s="65" t="s">
        <v>32</v>
      </c>
      <c r="E23" s="67" t="s">
        <v>39</v>
      </c>
      <c r="F23" s="67" t="s">
        <v>40</v>
      </c>
      <c r="G23" s="67" t="s">
        <v>33</v>
      </c>
      <c r="H23" s="67" t="s">
        <v>34</v>
      </c>
      <c r="I23" s="65" t="s">
        <v>35</v>
      </c>
      <c r="J23" s="67" t="s">
        <v>37</v>
      </c>
      <c r="K23" s="67" t="s">
        <v>29</v>
      </c>
      <c r="L23" s="65" t="s">
        <v>41</v>
      </c>
      <c r="M23" s="67" t="s">
        <v>37</v>
      </c>
      <c r="N23" s="69" t="s">
        <v>29</v>
      </c>
      <c r="O23" s="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1"/>
      <c r="B24" s="71"/>
      <c r="C24" s="71"/>
      <c r="D24" s="71"/>
      <c r="E24" s="79"/>
      <c r="F24" s="108"/>
      <c r="G24" s="73"/>
      <c r="H24" s="75"/>
      <c r="I24" s="71"/>
      <c r="J24" s="79"/>
      <c r="K24" s="75">
        <f t="shared" ref="K24:K25" si="2">$J24*(IF($I24="Q",$G24,(IF($I24="W",$H24,0))))</f>
        <v>0</v>
      </c>
      <c r="L24" s="71"/>
      <c r="M24" s="109"/>
      <c r="N24" s="110">
        <f t="shared" ref="N24:N25" si="3">$M24*$G24</f>
        <v>0</v>
      </c>
      <c r="O24" s="4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84"/>
      <c r="B25" s="84"/>
      <c r="C25" s="84"/>
      <c r="D25" s="84"/>
      <c r="E25" s="92"/>
      <c r="F25" s="111"/>
      <c r="G25" s="86"/>
      <c r="H25" s="88"/>
      <c r="I25" s="84"/>
      <c r="J25" s="92"/>
      <c r="K25" s="88">
        <f t="shared" si="2"/>
        <v>0</v>
      </c>
      <c r="L25" s="84"/>
      <c r="M25" s="112"/>
      <c r="N25" s="113">
        <f t="shared" si="3"/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14"/>
      <c r="B26" s="115"/>
      <c r="C26" s="99"/>
      <c r="D26" s="99"/>
      <c r="E26" s="105"/>
      <c r="F26" s="116"/>
      <c r="G26" s="101">
        <f>SUM($G24:$G25)</f>
        <v>0</v>
      </c>
      <c r="H26" s="102">
        <f>SUM($H24:$H25)</f>
        <v>0</v>
      </c>
      <c r="I26" s="99"/>
      <c r="J26" s="105"/>
      <c r="K26" s="102">
        <f>SUM($K24:$K25)</f>
        <v>0</v>
      </c>
      <c r="L26" s="99"/>
      <c r="M26" s="117"/>
      <c r="N26" s="118">
        <f>SUM($N24:$N25)</f>
        <v>0</v>
      </c>
      <c r="O26" s="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55" t="s">
        <v>42</v>
      </c>
      <c r="B28" s="120"/>
      <c r="C28" s="56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66" t="s">
        <v>27</v>
      </c>
      <c r="B29" s="65" t="s">
        <v>30</v>
      </c>
      <c r="C29" s="65" t="s">
        <v>31</v>
      </c>
      <c r="D29" s="65" t="s">
        <v>32</v>
      </c>
      <c r="E29" s="67" t="s">
        <v>33</v>
      </c>
      <c r="F29" s="67" t="s">
        <v>34</v>
      </c>
      <c r="G29" s="65" t="s">
        <v>35</v>
      </c>
      <c r="H29" s="67" t="s">
        <v>37</v>
      </c>
      <c r="I29" s="69" t="s">
        <v>29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68"/>
      <c r="B30" s="71"/>
      <c r="C30" s="71"/>
      <c r="D30" s="71"/>
      <c r="E30" s="73"/>
      <c r="F30" s="75"/>
      <c r="G30" s="71"/>
      <c r="H30" s="109"/>
      <c r="I30" s="82">
        <f t="shared" ref="I30:I31" si="4">$H30*(IF($G30="Q",$E30,(IF($G30="W",$F30,0))))</f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1"/>
      <c r="B31" s="84"/>
      <c r="C31" s="84"/>
      <c r="D31" s="84"/>
      <c r="E31" s="86"/>
      <c r="F31" s="88"/>
      <c r="G31" s="84"/>
      <c r="H31" s="112"/>
      <c r="I31" s="94">
        <f t="shared" si="4"/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22"/>
      <c r="B32" s="114"/>
      <c r="C32" s="114"/>
      <c r="D32" s="114"/>
      <c r="E32" s="123">
        <f>SUM($E30:$E31)</f>
        <v>0</v>
      </c>
      <c r="F32" s="124">
        <f>SUM($F30:$F31)</f>
        <v>0</v>
      </c>
      <c r="G32" s="114"/>
      <c r="H32" s="117"/>
      <c r="I32" s="106">
        <f>SUM($I30:$I31)</f>
        <v>0</v>
      </c>
      <c r="J32" s="9"/>
      <c r="K32" s="9"/>
      <c r="L32" s="9"/>
      <c r="M32" s="9"/>
      <c r="N32" s="9"/>
      <c r="O32" s="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55" t="s">
        <v>43</v>
      </c>
      <c r="B34" s="120"/>
      <c r="C34" s="56"/>
      <c r="D34" s="9" t="s">
        <v>44</v>
      </c>
      <c r="E34" s="125"/>
      <c r="F34" s="9"/>
      <c r="G34" s="9"/>
      <c r="H34" s="9"/>
      <c r="I34" s="9"/>
      <c r="J34" s="9"/>
      <c r="K34" s="9"/>
      <c r="L34" s="9"/>
      <c r="M34" s="9"/>
      <c r="N34" s="9"/>
      <c r="O34" s="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66" t="s">
        <v>27</v>
      </c>
      <c r="B35" s="65" t="s">
        <v>45</v>
      </c>
      <c r="C35" s="65" t="s">
        <v>46</v>
      </c>
      <c r="D35" s="65" t="s">
        <v>35</v>
      </c>
      <c r="E35" s="67" t="s">
        <v>33</v>
      </c>
      <c r="F35" s="67" t="s">
        <v>37</v>
      </c>
      <c r="G35" s="69" t="s">
        <v>29</v>
      </c>
      <c r="H35" s="9"/>
      <c r="I35" s="9"/>
      <c r="J35" s="9"/>
      <c r="K35" s="9"/>
      <c r="L35" s="9"/>
      <c r="M35" s="9"/>
      <c r="N35" s="9"/>
      <c r="O35" s="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68"/>
      <c r="B36" s="71"/>
      <c r="C36" s="71"/>
      <c r="D36" s="71"/>
      <c r="E36" s="73"/>
      <c r="F36" s="109"/>
      <c r="G36" s="110">
        <f t="shared" ref="G36:G37" si="5">$F36*(IF($D36="Q",$E36,(IF($D36="W",$E$34,0))))</f>
        <v>0</v>
      </c>
      <c r="H36" s="9"/>
      <c r="I36" s="9"/>
      <c r="J36" s="9"/>
      <c r="K36" s="9"/>
      <c r="L36" s="9"/>
      <c r="M36" s="9"/>
      <c r="N36" s="9"/>
      <c r="O36" s="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21"/>
      <c r="B37" s="84"/>
      <c r="C37" s="84"/>
      <c r="D37" s="84"/>
      <c r="E37" s="86"/>
      <c r="F37" s="112"/>
      <c r="G37" s="113">
        <f t="shared" si="5"/>
        <v>0</v>
      </c>
      <c r="H37" s="9"/>
      <c r="I37" s="9"/>
      <c r="J37" s="9"/>
      <c r="K37" s="9"/>
      <c r="L37" s="9"/>
      <c r="M37" s="9"/>
      <c r="N37" s="9"/>
      <c r="O37" s="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22"/>
      <c r="B38" s="114"/>
      <c r="C38" s="114"/>
      <c r="D38" s="114"/>
      <c r="E38" s="123">
        <f>SUM($E36:$E37)</f>
        <v>0</v>
      </c>
      <c r="F38" s="117"/>
      <c r="G38" s="118">
        <f>SUM($G36:$G37)</f>
        <v>0</v>
      </c>
      <c r="H38" s="9"/>
      <c r="I38" s="9"/>
      <c r="J38" s="9"/>
      <c r="K38" s="9"/>
      <c r="L38" s="9"/>
      <c r="M38" s="9"/>
      <c r="N38" s="9"/>
      <c r="O38" s="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55" t="s">
        <v>47</v>
      </c>
      <c r="B40" s="5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26"/>
      <c r="B41" s="63"/>
      <c r="C41" s="67" t="s">
        <v>8</v>
      </c>
      <c r="D41" s="67" t="s">
        <v>34</v>
      </c>
      <c r="E41" s="69" t="s">
        <v>29</v>
      </c>
      <c r="F41" s="4"/>
      <c r="G41" s="126"/>
      <c r="H41" s="63"/>
      <c r="I41" s="67"/>
      <c r="J41" s="69" t="s">
        <v>29</v>
      </c>
      <c r="K41" s="4"/>
      <c r="L41" s="9"/>
      <c r="M41" s="9"/>
      <c r="N41" s="9"/>
      <c r="O41" s="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27" t="s">
        <v>48</v>
      </c>
      <c r="B42" s="128"/>
      <c r="C42" s="73"/>
      <c r="D42" s="75">
        <f>$F20</f>
        <v>0</v>
      </c>
      <c r="E42" s="129">
        <f>$J20</f>
        <v>0</v>
      </c>
      <c r="F42" s="4"/>
      <c r="G42" s="127" t="s">
        <v>21</v>
      </c>
      <c r="H42" s="128"/>
      <c r="I42" s="130"/>
      <c r="J42" s="131">
        <f>E47</f>
        <v>0</v>
      </c>
      <c r="K42" s="4"/>
      <c r="L42" s="9"/>
      <c r="M42" s="9"/>
      <c r="N42" s="9"/>
      <c r="O42" s="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32" t="s">
        <v>49</v>
      </c>
      <c r="B43" s="85"/>
      <c r="C43" s="87">
        <f>SUMIF(B24:B25,"D",G24:G25)</f>
        <v>0</v>
      </c>
      <c r="D43" s="133">
        <f>SUMIF(B24:B25,"D",H24:H25)</f>
        <v>0</v>
      </c>
      <c r="E43" s="134">
        <f>SUMIF(B24:B25,"D",K24:K25)</f>
        <v>0</v>
      </c>
      <c r="F43" s="135"/>
      <c r="G43" s="132" t="s">
        <v>50</v>
      </c>
      <c r="H43" s="85"/>
      <c r="I43" s="136"/>
      <c r="J43" s="137"/>
      <c r="K43" s="4"/>
      <c r="L43" s="9"/>
      <c r="M43" s="9"/>
      <c r="N43" s="9"/>
      <c r="O43" s="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32" t="s">
        <v>51</v>
      </c>
      <c r="B44" s="85"/>
      <c r="C44" s="138">
        <f>SUMIF(B24:B25,"C",G24:G25)</f>
        <v>0</v>
      </c>
      <c r="D44" s="133">
        <f>SUMIF(B24:B25,"C",H24:H25)</f>
        <v>0</v>
      </c>
      <c r="E44" s="134">
        <f>SUMIF(B24:B25,"C",K24:K25)</f>
        <v>0</v>
      </c>
      <c r="F44" s="4"/>
      <c r="G44" s="132"/>
      <c r="H44" s="85"/>
      <c r="I44" s="136"/>
      <c r="J44" s="137"/>
      <c r="K44" s="4"/>
      <c r="L44" s="9"/>
      <c r="M44" s="9"/>
      <c r="N44" s="9"/>
      <c r="O44" s="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32" t="s">
        <v>52</v>
      </c>
      <c r="B45" s="85"/>
      <c r="C45" s="139">
        <f>$E32</f>
        <v>0</v>
      </c>
      <c r="D45" s="133">
        <f>$F32</f>
        <v>0</v>
      </c>
      <c r="E45" s="134">
        <f>$I32</f>
        <v>0</v>
      </c>
      <c r="F45" s="4"/>
      <c r="G45" s="132"/>
      <c r="H45" s="85"/>
      <c r="I45" s="136"/>
      <c r="J45" s="137"/>
      <c r="K45" s="4"/>
      <c r="L45" s="9"/>
      <c r="M45" s="9"/>
      <c r="N45" s="9"/>
      <c r="O45" s="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40" t="s">
        <v>53</v>
      </c>
      <c r="B46" s="141"/>
      <c r="C46" s="86"/>
      <c r="D46" s="88"/>
      <c r="E46" s="142">
        <f>$N26+$G38</f>
        <v>0</v>
      </c>
      <c r="F46" s="4"/>
      <c r="G46" s="140"/>
      <c r="H46" s="141"/>
      <c r="I46" s="143"/>
      <c r="J46" s="144"/>
      <c r="K46" s="4"/>
      <c r="L46" s="9"/>
      <c r="M46" s="9"/>
      <c r="N46" s="9"/>
      <c r="O46" s="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45" t="s">
        <v>21</v>
      </c>
      <c r="B47" s="146"/>
      <c r="C47" s="147"/>
      <c r="D47" s="148">
        <f>$D42+D45+SUM($D43:$D44)/5</f>
        <v>0</v>
      </c>
      <c r="E47" s="149">
        <f>SUM($E42:$E46)</f>
        <v>0</v>
      </c>
      <c r="F47" s="4"/>
      <c r="G47" s="150" t="s">
        <v>18</v>
      </c>
      <c r="H47" s="63"/>
      <c r="I47" s="151"/>
      <c r="J47" s="152">
        <f>J42*J43</f>
        <v>0</v>
      </c>
      <c r="K47" s="4"/>
      <c r="L47" s="9"/>
      <c r="M47" s="9"/>
      <c r="N47" s="9"/>
      <c r="O47" s="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9"/>
      <c r="B48" s="4"/>
      <c r="C48" s="153"/>
      <c r="D48" s="154"/>
      <c r="E48" s="125"/>
      <c r="F48" s="4"/>
      <c r="G48" s="9"/>
      <c r="H48" s="9"/>
      <c r="I48" s="155"/>
      <c r="J48" s="155"/>
      <c r="K48" s="4"/>
      <c r="L48" s="9"/>
      <c r="M48" s="9"/>
      <c r="N48" s="9"/>
      <c r="O48" s="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9"/>
      <c r="B49" s="9"/>
      <c r="C49" s="9"/>
      <c r="D49" s="9"/>
      <c r="E49" s="9"/>
      <c r="F49" s="4"/>
      <c r="G49" s="9"/>
      <c r="H49" s="9"/>
      <c r="I49" s="155"/>
      <c r="J49" s="155"/>
      <c r="K49" s="4"/>
      <c r="L49" s="9"/>
      <c r="M49" s="9"/>
      <c r="N49" s="9"/>
      <c r="O49" s="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9"/>
      <c r="B50" s="4"/>
      <c r="C50" s="4"/>
      <c r="D50" s="9"/>
      <c r="E50" s="4"/>
      <c r="F50" s="4"/>
      <c r="G50" s="4"/>
      <c r="H50" s="4"/>
      <c r="I50" s="9"/>
      <c r="J50" s="9"/>
      <c r="K50" s="9"/>
      <c r="L50" s="9"/>
      <c r="M50" s="9"/>
      <c r="N50" s="9"/>
      <c r="O50" s="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9" t="s">
        <v>54</v>
      </c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5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H55" s="4"/>
      <c r="I55" s="9"/>
      <c r="J55" s="9"/>
      <c r="K55" s="9"/>
      <c r="L55" s="9"/>
      <c r="M55" s="9"/>
      <c r="N55" s="9"/>
      <c r="O55" s="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57"/>
      <c r="B56" s="157"/>
      <c r="C56" s="157"/>
      <c r="D56" s="157"/>
      <c r="E56" s="157"/>
      <c r="F56" s="157"/>
      <c r="G56" s="15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57"/>
      <c r="B57" s="157"/>
      <c r="C57" s="157"/>
      <c r="D57" s="157"/>
      <c r="E57" s="157"/>
      <c r="F57" s="157"/>
      <c r="G57" s="15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9" t="s">
        <v>55</v>
      </c>
      <c r="B58" s="157"/>
      <c r="C58" s="157"/>
      <c r="D58" s="157"/>
      <c r="E58" s="157"/>
      <c r="F58" s="157"/>
      <c r="G58" s="15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5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H60" s="4"/>
      <c r="I60" s="9"/>
      <c r="J60" s="9"/>
      <c r="K60" s="9"/>
      <c r="L60" s="9"/>
      <c r="M60" s="9"/>
      <c r="N60" s="9"/>
      <c r="O60" s="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56"/>
      <c r="B63" s="156"/>
      <c r="C63" s="156"/>
      <c r="D63" s="156"/>
      <c r="E63" s="156"/>
      <c r="F63" s="156"/>
      <c r="G63" s="15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9"/>
      <c r="B64" s="156"/>
      <c r="C64" s="156"/>
      <c r="D64" s="156"/>
      <c r="E64" s="156"/>
      <c r="F64" s="156"/>
      <c r="G64" s="15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9" t="s">
        <v>56</v>
      </c>
      <c r="B65" s="157"/>
      <c r="C65" s="157"/>
      <c r="D65" s="157"/>
      <c r="E65" s="157"/>
      <c r="F65" s="157"/>
      <c r="G65" s="15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5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57"/>
      <c r="B68" s="157"/>
      <c r="C68" s="157"/>
      <c r="D68" s="157"/>
      <c r="E68" s="157"/>
      <c r="F68" s="157"/>
      <c r="G68" s="15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57"/>
      <c r="B69" s="157"/>
      <c r="C69" s="157"/>
      <c r="D69" s="157"/>
      <c r="E69" s="157"/>
      <c r="F69" s="157"/>
      <c r="G69" s="15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9" t="s">
        <v>57</v>
      </c>
      <c r="B70" s="157"/>
      <c r="C70" s="157"/>
      <c r="D70" s="157"/>
      <c r="E70" s="157"/>
      <c r="F70" s="157"/>
      <c r="G70" s="15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5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9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9" t="s">
        <v>58</v>
      </c>
      <c r="B75" s="157"/>
      <c r="C75" s="157"/>
      <c r="D75" s="157"/>
      <c r="E75" s="157"/>
      <c r="F75" s="157"/>
      <c r="G75" s="15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5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58"/>
      <c r="M102" s="158"/>
      <c r="N102" s="15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58"/>
      <c r="M103" s="51"/>
      <c r="N103" s="15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58"/>
      <c r="M104" s="51"/>
      <c r="N104" s="15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58"/>
      <c r="M105" s="51"/>
      <c r="N105" s="15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58"/>
      <c r="M106" s="51"/>
      <c r="N106" s="15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58"/>
      <c r="M107" s="51"/>
      <c r="N107" s="15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58"/>
      <c r="M108" s="51"/>
      <c r="N108" s="15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58"/>
      <c r="M109" s="159"/>
      <c r="N109" s="159"/>
      <c r="O109" s="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58"/>
      <c r="M110" s="159"/>
      <c r="N110" s="15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58"/>
      <c r="M111" s="159"/>
      <c r="N111" s="159"/>
      <c r="O111" s="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58"/>
      <c r="M112" s="158"/>
      <c r="N112" s="159"/>
      <c r="O112" s="160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2">
    <mergeCell ref="A9:B9"/>
    <mergeCell ref="C9:E9"/>
    <mergeCell ref="G11:H11"/>
    <mergeCell ref="E11:F11"/>
    <mergeCell ref="A5:B5"/>
    <mergeCell ref="C5:D5"/>
    <mergeCell ref="A6:B6"/>
    <mergeCell ref="A8:B8"/>
    <mergeCell ref="A10:B10"/>
    <mergeCell ref="A46:B46"/>
    <mergeCell ref="A45:B45"/>
    <mergeCell ref="G46:H46"/>
    <mergeCell ref="G45:H45"/>
    <mergeCell ref="G44:H44"/>
    <mergeCell ref="G43:H43"/>
    <mergeCell ref="A66:G67"/>
    <mergeCell ref="A76:G79"/>
    <mergeCell ref="A71:G72"/>
    <mergeCell ref="A11:B11"/>
    <mergeCell ref="A52:G55"/>
    <mergeCell ref="A59:G62"/>
    <mergeCell ref="G47:H47"/>
    <mergeCell ref="A40:B40"/>
    <mergeCell ref="A44:B44"/>
    <mergeCell ref="G42:H42"/>
    <mergeCell ref="G41:H41"/>
    <mergeCell ref="C4:J4"/>
    <mergeCell ref="A1:O2"/>
    <mergeCell ref="A4:B4"/>
    <mergeCell ref="A7:B7"/>
    <mergeCell ref="C7:D7"/>
    <mergeCell ref="A47:B47"/>
    <mergeCell ref="A43:B43"/>
    <mergeCell ref="A42:B42"/>
    <mergeCell ref="A41:B41"/>
    <mergeCell ref="A16:B16"/>
    <mergeCell ref="A22:B22"/>
    <mergeCell ref="A34:C34"/>
    <mergeCell ref="A28:C28"/>
    <mergeCell ref="C6:D6"/>
    <mergeCell ref="F6:G6"/>
    <mergeCell ref="I6:J6"/>
  </mergeCells>
  <printOptions/>
  <pageMargins bottom="0.75" footer="0.0" header="0.0" left="0.7" right="0.7" top="0.75"/>
  <pageSetup orientation="landscape"/>
  <drawing r:id="rId1"/>
</worksheet>
</file>